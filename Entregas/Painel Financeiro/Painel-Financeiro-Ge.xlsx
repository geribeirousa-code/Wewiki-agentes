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Lançamentos" sheetId="2" state="visible" r:id="rId2"/>
    <sheet name="Resumo Mensal" sheetId="3" state="visible" r:id="rId3"/>
    <sheet name="Cartões e Dívidas" sheetId="4" state="visible" r:id="rId4"/>
    <sheet name="Patrimônio" sheetId="5" state="visible" r:id="rId5"/>
    <sheet name="Metas" sheetId="6" state="visible" r:id="rId6"/>
    <sheet name="Assinaturas" sheetId="7" state="visible" r:id="rId7"/>
    <sheet name="Estratégias" sheetId="8" state="visible" r:id="rId8"/>
    <sheet name="Lis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#,##0.00"/>
    <numFmt numFmtId="166" formatCode="&quot;$&quot;#,##0.00;[Red]-&quot;$&quot;#,##0.00"/>
    <numFmt numFmtId="167" formatCode="0.0"/>
  </numFmts>
  <fonts count="2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8A8A8A"/>
      <sz val="10"/>
    </font>
    <font>
      <b val="1"/>
      <color rgb="00FFFFFF"/>
      <sz val="10"/>
    </font>
    <font>
      <color rgb="002B2B2B"/>
      <sz val="10"/>
    </font>
    <font>
      <b val="1"/>
      <color rgb="002B2B2B"/>
      <sz val="10"/>
    </font>
    <font>
      <b val="1"/>
      <color rgb="000F2A24"/>
      <sz val="11"/>
    </font>
    <font>
      <b val="1"/>
      <color rgb="000F2A24"/>
      <sz val="12"/>
    </font>
    <font>
      <b val="1"/>
      <color rgb="00B23A3A"/>
      <sz val="13"/>
    </font>
    <font>
      <b val="1"/>
      <color rgb="002B2B2B"/>
      <sz val="12"/>
    </font>
    <font>
      <b val="1"/>
      <color rgb="00B23A3A"/>
      <sz val="12"/>
    </font>
    <font>
      <b val="1"/>
      <color rgb="000F2A24"/>
      <sz val="14"/>
    </font>
    <font>
      <b val="1"/>
      <color rgb="001E7A55"/>
      <sz val="15"/>
    </font>
    <font>
      <b val="1"/>
      <color rgb="001E7A55"/>
      <sz val="13"/>
    </font>
    <font>
      <b val="1"/>
      <color rgb="00C9A961"/>
      <sz val="13"/>
    </font>
    <font>
      <b val="1"/>
      <color rgb="008A8A8A"/>
      <sz val="10"/>
    </font>
    <font>
      <i val="1"/>
      <color rgb="008A8A8A"/>
      <sz val="9"/>
    </font>
    <font>
      <b val="1"/>
      <color rgb="008A8A8A"/>
      <sz val="9"/>
    </font>
    <font>
      <b val="1"/>
      <color rgb="001E7A55"/>
      <sz val="18"/>
    </font>
    <font>
      <b val="1"/>
      <color rgb="00B23A3A"/>
      <sz val="18"/>
    </font>
    <font>
      <b val="1"/>
      <color rgb="000F2A24"/>
      <sz val="18"/>
    </font>
    <font>
      <b val="1"/>
      <color rgb="00C9A961"/>
      <sz val="18"/>
    </font>
    <font>
      <b val="1"/>
      <color rgb="000F2A24"/>
      <sz val="10"/>
    </font>
  </fonts>
  <fills count="7">
    <fill>
      <patternFill/>
    </fill>
    <fill>
      <patternFill patternType="gray125"/>
    </fill>
    <fill>
      <patternFill patternType="solid">
        <fgColor rgb="000F2A24"/>
      </patternFill>
    </fill>
    <fill>
      <patternFill patternType="solid">
        <fgColor rgb="00FFFFFF"/>
      </patternFill>
    </fill>
    <fill>
      <patternFill patternType="solid">
        <fgColor rgb="00FBF9F4"/>
      </patternFill>
    </fill>
    <fill>
      <patternFill patternType="solid">
        <fgColor rgb="00C9A961"/>
      </patternFill>
    </fill>
    <fill>
      <patternFill patternType="solid">
        <fgColor rgb="00F5F1E8"/>
      </patternFill>
    </fill>
  </fills>
  <borders count="2">
    <border>
      <left/>
      <right/>
      <top/>
      <bottom/>
      <diagonal/>
    </border>
    <border>
      <left style="thin">
        <color rgb="00DDD6C7"/>
      </left>
      <right style="thin">
        <color rgb="00DDD6C7"/>
      </right>
      <top style="thin">
        <color rgb="00DDD6C7"/>
      </top>
      <bottom style="thin">
        <color rgb="00DDD6C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15" fillId="0" borderId="0" pivotButton="0" quotePrefix="0" xfId="0"/>
    <xf numFmtId="0" fontId="7" fillId="5" borderId="0" applyAlignment="1" pivotButton="0" quotePrefix="0" xfId="0">
      <alignment horizontal="center"/>
    </xf>
    <xf numFmtId="0" fontId="16" fillId="0" borderId="0" pivotButton="0" quotePrefix="0" xfId="0"/>
    <xf numFmtId="0" fontId="1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6" fontId="18" fillId="6" borderId="1" applyAlignment="1" pivotButton="0" quotePrefix="0" xfId="0">
      <alignment horizontal="left" vertical="center" indent="1"/>
    </xf>
    <xf numFmtId="166" fontId="19" fillId="6" borderId="1" applyAlignment="1" pivotButton="0" quotePrefix="0" xfId="0">
      <alignment horizontal="left" vertical="center" indent="1"/>
    </xf>
    <xf numFmtId="166" fontId="20" fillId="6" borderId="1" applyAlignment="1" pivotButton="0" quotePrefix="0" xfId="0">
      <alignment horizontal="left" vertical="center" indent="1"/>
    </xf>
    <xf numFmtId="166" fontId="21" fillId="6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3" borderId="1" pivotButton="0" quotePrefix="0" xfId="0"/>
    <xf numFmtId="0" fontId="4" fillId="3" borderId="1" pivotButton="0" quotePrefix="0" xfId="0"/>
    <xf numFmtId="165" fontId="5" fillId="3" borderId="1" pivotButton="0" quotePrefix="0" xfId="0"/>
    <xf numFmtId="164" fontId="4" fillId="4" borderId="1" pivotButton="0" quotePrefix="0" xfId="0"/>
    <xf numFmtId="0" fontId="4" fillId="4" borderId="1" pivotButton="0" quotePrefix="0" xfId="0"/>
    <xf numFmtId="165" fontId="5" fillId="4" borderId="1" pivotButton="0" quotePrefix="0" xfId="0"/>
    <xf numFmtId="165" fontId="5" fillId="0" borderId="0" pivotButton="0" quotePrefix="0" xfId="0"/>
    <xf numFmtId="166" fontId="4" fillId="3" borderId="1" pivotButton="0" quotePrefix="0" xfId="0"/>
    <xf numFmtId="166" fontId="4" fillId="4" borderId="1" pivotButton="0" quotePrefix="0" xfId="0"/>
    <xf numFmtId="0" fontId="6" fillId="5" borderId="1" pivotButton="0" quotePrefix="0" xfId="0"/>
    <xf numFmtId="166" fontId="6" fillId="5" borderId="1" pivotButton="0" quotePrefix="0" xfId="0"/>
    <xf numFmtId="165" fontId="4" fillId="3" borderId="1" pivotButton="0" quotePrefix="0" xfId="0"/>
    <xf numFmtId="9" fontId="4" fillId="3" borderId="1" pivotButton="0" quotePrefix="0" xfId="0"/>
    <xf numFmtId="165" fontId="4" fillId="4" borderId="1" pivotButton="0" quotePrefix="0" xfId="0"/>
    <xf numFmtId="9" fontId="4" fillId="4" borderId="1" pivotButton="0" quotePrefix="0" xfId="0"/>
    <xf numFmtId="0" fontId="7" fillId="0" borderId="0" pivotButton="0" quotePrefix="0" xfId="0"/>
    <xf numFmtId="165" fontId="8" fillId="6" borderId="0" pivotButton="0" quotePrefix="0" xfId="0"/>
    <xf numFmtId="166" fontId="9" fillId="6" borderId="0" pivotButton="0" quotePrefix="0" xfId="0"/>
    <xf numFmtId="166" fontId="10" fillId="6" borderId="0" pivotButton="0" quotePrefix="0" xfId="0"/>
    <xf numFmtId="0" fontId="11" fillId="0" borderId="0" pivotButton="0" quotePrefix="0" xfId="0"/>
    <xf numFmtId="166" fontId="12" fillId="6" borderId="0" pivotButton="0" quotePrefix="0" xfId="0"/>
    <xf numFmtId="167" fontId="4" fillId="3" borderId="1" pivotButton="0" quotePrefix="0" xfId="0"/>
    <xf numFmtId="167" fontId="4" fillId="4" borderId="1" pivotButton="0" quotePrefix="0" xfId="0"/>
    <xf numFmtId="165" fontId="13" fillId="6" borderId="0" pivotButton="0" quotePrefix="0" xfId="0"/>
    <xf numFmtId="165" fontId="14" fillId="6" borderId="0" pivotButton="0" quotePrefix="0" xfId="0"/>
    <xf numFmtId="0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1E7A55"/>
      </font>
    </dxf>
    <dxf>
      <font>
        <b val="1"/>
        <color rgb="00B23A3A"/>
      </font>
    </dxf>
    <dxf>
      <font>
        <b val="1"/>
        <color rgb="008A6D1B"/>
      </font>
      <fill>
        <patternFill patternType="solid">
          <bgColor rgb="00FFF3CD"/>
        </patternFill>
      </fill>
    </dxf>
    <dxf>
      <font>
        <b val="1"/>
        <color rgb="00B23A3A"/>
      </font>
      <fill>
        <patternFill patternType="solid"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961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3" customWidth="1" min="4" max="4"/>
    <col width="21" customWidth="1" min="5" max="5"/>
    <col width="21" customWidth="1" min="6" max="6"/>
    <col width="3" customWidth="1" min="7" max="7"/>
    <col width="21" customWidth="1" min="8" max="8"/>
    <col width="21" customWidth="1" min="9" max="9"/>
  </cols>
  <sheetData>
    <row r="1" ht="42" customHeight="1">
      <c r="A1" s="1" t="inlineStr">
        <is>
          <t>PAINEL FINANCEIRO  ·  Gê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Tudo que você tem, deve, ganha e planeja — num lugar só. Se atualiza sozinho a partir dos Lançamentos.</t>
        </is>
      </c>
    </row>
    <row r="4">
      <c r="B4" s="4" t="inlineStr">
        <is>
          <t>Mês de referência</t>
        </is>
      </c>
      <c r="C4" s="5">
        <f>TEXT(TODAY(),"YYYY-MM")</f>
        <v/>
      </c>
      <c r="E4" s="6" t="inlineStr">
        <is>
          <t>↑ troque essa célula pra ver outro mês (ex: 2026-03)</t>
        </is>
      </c>
    </row>
    <row r="6" ht="20" customHeight="1">
      <c r="B6" s="7" t="inlineStr">
        <is>
          <t>ENTROU NO MÊS</t>
        </is>
      </c>
      <c r="C6" s="8" t="n"/>
      <c r="E6" s="7" t="inlineStr">
        <is>
          <t>SAIU NO MÊS</t>
        </is>
      </c>
      <c r="F6" s="8" t="n"/>
      <c r="H6" s="7" t="inlineStr">
        <is>
          <t>SALDO DO MÊS</t>
        </is>
      </c>
      <c r="I6" s="8" t="n"/>
    </row>
    <row r="7" ht="36" customHeight="1">
      <c r="B7" s="9">
        <f>SUMIFS('Lançamentos'!$F:$F,'Lançamentos'!$A:$A,"&gt;="&amp;DATE(VALUE(LEFT($C$4,4)),VALUE(RIGHT($C$4,2)),1),'Lançamentos'!$A:$A,"&lt;"&amp;DATE(VALUE(LEFT($C$4,4)),VALUE(RIGHT($C$4,2))+1,1),'Lançamentos'!$C:$C,"Entrada")</f>
        <v/>
      </c>
      <c r="C7" s="8" t="n"/>
      <c r="E7" s="10">
        <f>SUMIFS('Lançamentos'!$F:$F,'Lançamentos'!$A:$A,"&gt;="&amp;DATE(VALUE(LEFT($C$4,4)),VALUE(RIGHT($C$4,2)),1),'Lançamentos'!$A:$A,"&lt;"&amp;DATE(VALUE(LEFT($C$4,4)),VALUE(RIGHT($C$4,2))+1,1),'Lançamentos'!$C:$C,"Saída")</f>
        <v/>
      </c>
      <c r="F7" s="8" t="n"/>
      <c r="H7" s="11">
        <f>B7-E7</f>
        <v/>
      </c>
      <c r="I7" s="8" t="n"/>
    </row>
    <row r="10" ht="20" customHeight="1">
      <c r="B10" s="7" t="inlineStr">
        <is>
          <t>PESSOAL · saldo</t>
        </is>
      </c>
      <c r="C10" s="8" t="n"/>
      <c r="E10" s="7" t="inlineStr">
        <is>
          <t>CLEAN TOUCH · saldo</t>
        </is>
      </c>
      <c r="F10" s="8" t="n"/>
      <c r="H10" s="7" t="inlineStr">
        <is>
          <t>INTERNET · saldo</t>
        </is>
      </c>
      <c r="I10" s="8" t="n"/>
    </row>
    <row r="11" ht="36" customHeight="1">
      <c r="B11" s="11">
        <f>SUMIFS('Lançamentos'!$F:$F,'Lançamentos'!$A:$A,"&gt;="&amp;DATE(VALUE(LEFT($C$4,4)),VALUE(RIGHT($C$4,2)),1),'Lançamentos'!$A:$A,"&lt;"&amp;DATE(VALUE(LEFT($C$4,4)),VALUE(RIGHT($C$4,2))+1,1),'Lançamentos'!$B:$B,"Pessoal",'Lançamentos'!$C:$C,"Entrada")-SUMIFS('Lançamentos'!$F:$F,'Lançamentos'!$A:$A,"&gt;="&amp;DATE(VALUE(LEFT($C$4,4)),VALUE(RIGHT($C$4,2)),1),'Lançamentos'!$A:$A,"&lt;"&amp;DATE(VALUE(LEFT($C$4,4)),VALUE(RIGHT($C$4,2))+1,1),'Lançamentos'!$B:$B,"Pessoal",'Lançamentos'!$C:$C,"Saída")</f>
        <v/>
      </c>
      <c r="C11" s="8" t="n"/>
      <c r="E11" s="11">
        <f>SUMIFS('Lançamentos'!$F:$F,'Lançamentos'!$A:$A,"&gt;="&amp;DATE(VALUE(LEFT($C$4,4)),VALUE(RIGHT($C$4,2)),1),'Lançamentos'!$A:$A,"&lt;"&amp;DATE(VALUE(LEFT($C$4,4)),VALUE(RIGHT($C$4,2))+1,1),'Lançamentos'!$B:$B,"Clean Touch",'Lançamentos'!$C:$C,"Entrada")-SUMIFS('Lançamentos'!$F:$F,'Lançamentos'!$A:$A,"&gt;="&amp;DATE(VALUE(LEFT($C$4,4)),VALUE(RIGHT($C$4,2)),1),'Lançamentos'!$A:$A,"&lt;"&amp;DATE(VALUE(LEFT($C$4,4)),VALUE(RIGHT($C$4,2))+1,1),'Lançamentos'!$B:$B,"Clean Touch",'Lançamentos'!$C:$C,"Saída")</f>
        <v/>
      </c>
      <c r="F11" s="8" t="n"/>
      <c r="H11" s="11">
        <f>SUMIFS('Lançamentos'!$F:$F,'Lançamentos'!$A:$A,"&gt;="&amp;DATE(VALUE(LEFT($C$4,4)),VALUE(RIGHT($C$4,2)),1),'Lançamentos'!$A:$A,"&lt;"&amp;DATE(VALUE(LEFT($C$4,4)),VALUE(RIGHT($C$4,2))+1,1),'Lançamentos'!$B:$B,"Internet",'Lançamentos'!$C:$C,"Entrada")-SUMIFS('Lançamentos'!$F:$F,'Lançamentos'!$A:$A,"&gt;="&amp;DATE(VALUE(LEFT($C$4,4)),VALUE(RIGHT($C$4,2)),1),'Lançamentos'!$A:$A,"&lt;"&amp;DATE(VALUE(LEFT($C$4,4)),VALUE(RIGHT($C$4,2))+1,1),'Lançamentos'!$B:$B,"Internet",'Lançamentos'!$C:$C,"Saída")</f>
        <v/>
      </c>
      <c r="I11" s="8" t="n"/>
    </row>
    <row r="14" ht="20" customHeight="1">
      <c r="B14" s="7" t="inlineStr">
        <is>
          <t>PATRIMÔNIO LÍQUIDO</t>
        </is>
      </c>
      <c r="C14" s="8" t="n"/>
      <c r="E14" s="7" t="inlineStr">
        <is>
          <t>VOCÊ DEVE HOJE</t>
        </is>
      </c>
      <c r="F14" s="8" t="n"/>
      <c r="H14" s="7" t="inlineStr">
        <is>
          <t>PARCELAS POR MÊS</t>
        </is>
      </c>
      <c r="I14" s="8" t="n"/>
    </row>
    <row r="15" ht="36" customHeight="1">
      <c r="B15" s="9">
        <f>'Patrimônio'!E29</f>
        <v/>
      </c>
      <c r="C15" s="8" t="n"/>
      <c r="E15" s="10">
        <f>'Cartões e Dívidas'!H33</f>
        <v/>
      </c>
      <c r="F15" s="8" t="n"/>
      <c r="H15" s="10">
        <f>'Cartões e Dívidas'!H34</f>
        <v/>
      </c>
      <c r="I15" s="8" t="n"/>
    </row>
    <row r="18" ht="20" customHeight="1">
      <c r="B18" s="7" t="inlineStr">
        <is>
          <t>ASSINATURAS / MÊS</t>
        </is>
      </c>
      <c r="C18" s="8" t="n"/>
      <c r="E18" s="7" t="inlineStr">
        <is>
          <t>ASSINATURAS / ANO</t>
        </is>
      </c>
      <c r="F18" s="8" t="n"/>
      <c r="H18" s="7" t="inlineStr">
        <is>
          <t>ESTRATÉGIAS ATIVAS</t>
        </is>
      </c>
      <c r="I18" s="8" t="n"/>
    </row>
    <row r="19" ht="36" customHeight="1">
      <c r="B19" s="10">
        <f>Assinaturas!G36</f>
        <v/>
      </c>
      <c r="C19" s="8" t="n"/>
      <c r="E19" s="10">
        <f>Assinaturas!H36</f>
        <v/>
      </c>
      <c r="F19" s="8" t="n"/>
      <c r="H19" s="12">
        <f>Estratégias!H31</f>
        <v/>
      </c>
      <c r="I19" s="8" t="n"/>
    </row>
    <row r="21" ht="28" customHeight="1">
      <c r="A21" s="13" t="inlineStr">
        <is>
          <t>COMO USAR  ·  leia uma vez, depois nunca mais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20" customHeight="1">
      <c r="B22" s="15" t="inlineStr">
        <is>
          <t>1.  Todo dia (2 min): abra a aba Lançamentos e registre o que entrou e o que saiu. Só isso.</t>
        </is>
      </c>
    </row>
    <row r="23" ht="20" customHeight="1">
      <c r="B23" s="15" t="inlineStr">
        <is>
          <t>2.  Toda semana: olhe a coluna Status — o que está 'Pendente' e já venceu vira problema.</t>
        </is>
      </c>
    </row>
    <row r="24" ht="20" customHeight="1">
      <c r="B24" s="15" t="inlineStr">
        <is>
          <t>3.  Dia 1 do mês: atualize os valores da aba Patrimônio e preencha uma linha do Snapshot.</t>
        </is>
      </c>
    </row>
    <row r="25" ht="20" customHeight="1">
      <c r="B25" s="15" t="inlineStr">
        <is>
          <t>4.  Dia 1 do mês: revise Estratégias — o que avançou, o que morreu, qual é a próxima ação.</t>
        </is>
      </c>
    </row>
    <row r="26" ht="20" customHeight="1">
      <c r="B26" s="15" t="inlineStr">
        <is>
          <t>5.  A cada 3 meses: abra Assinaturas e cancele o que não usou. Olhe a coluna 'Custo no ano'.</t>
        </is>
      </c>
    </row>
    <row r="27" ht="20" customHeight="1">
      <c r="B27" s="15" t="inlineStr"/>
    </row>
    <row r="28" ht="20" customHeight="1">
      <c r="B28" s="16" t="inlineStr">
        <is>
          <t>As abas Início, Resumo Mensal, Cartões e Dívidas se calculam sozinhas — não digite nelas.</t>
        </is>
      </c>
    </row>
    <row r="29" ht="20" customHeight="1">
      <c r="B29" s="16" t="inlineStr">
        <is>
          <t>As três frentes são Pessoal, Clean Touch e Internet. Sempre preencha a coluna Frente: é ela que separa tudo.</t>
        </is>
      </c>
    </row>
  </sheetData>
  <mergeCells count="36">
    <mergeCell ref="B7:C7"/>
    <mergeCell ref="B25:I25"/>
    <mergeCell ref="H10:I10"/>
    <mergeCell ref="B22:I22"/>
    <mergeCell ref="E14:F14"/>
    <mergeCell ref="B18:C18"/>
    <mergeCell ref="B27:I27"/>
    <mergeCell ref="A21:I21"/>
    <mergeCell ref="A2:I2"/>
    <mergeCell ref="E4:I4"/>
    <mergeCell ref="H6:I6"/>
    <mergeCell ref="B11:C11"/>
    <mergeCell ref="E10:F10"/>
    <mergeCell ref="E19:F19"/>
    <mergeCell ref="B14:C14"/>
    <mergeCell ref="B23:I23"/>
    <mergeCell ref="H11:I11"/>
    <mergeCell ref="E6:F6"/>
    <mergeCell ref="B29:I29"/>
    <mergeCell ref="E15:F15"/>
    <mergeCell ref="H7:I7"/>
    <mergeCell ref="B19:C19"/>
    <mergeCell ref="B10:C10"/>
    <mergeCell ref="E11:F11"/>
    <mergeCell ref="B28:I28"/>
    <mergeCell ref="H19:I19"/>
    <mergeCell ref="B6:C6"/>
    <mergeCell ref="B15:C15"/>
    <mergeCell ref="E7:F7"/>
    <mergeCell ref="B24:I24"/>
    <mergeCell ref="H15:I15"/>
    <mergeCell ref="H18:I18"/>
    <mergeCell ref="A1:I1"/>
    <mergeCell ref="H14:I14"/>
    <mergeCell ref="E18:F18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A24"/>
    <outlinePr summaryBelow="1" summaryRight="1"/>
    <pageSetUpPr/>
  </sheetPr>
  <dimension ref="A1:J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15" customWidth="1" min="2" max="2"/>
    <col width="11" customWidth="1" min="3" max="3"/>
    <col width="26" customWidth="1" min="4" max="4"/>
    <col width="38" customWidth="1" min="5" max="5"/>
    <col width="14" customWidth="1" style="18" min="6" max="6"/>
    <col width="20" customWidth="1" min="7" max="7"/>
    <col width="18" customWidth="1" min="8" max="8"/>
    <col width="11" customWidth="1" min="9" max="9"/>
    <col width="13" customWidth="1" min="10" max="10"/>
  </cols>
  <sheetData>
    <row r="1" ht="42" customHeight="1">
      <c r="A1" s="1" t="inlineStr">
        <is>
          <t>LANÇAMENTOS  ·  tudo que entra e tudo que sai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Uma linha por movimento. É a única aba onde você digita todo dia. Todo o resto se calcula a partir daqui.</t>
        </is>
      </c>
    </row>
    <row r="4" ht="34" customHeight="1">
      <c r="A4" s="19" t="inlineStr">
        <is>
          <t>Data</t>
        </is>
      </c>
      <c r="B4" s="19" t="inlineStr">
        <is>
          <t>Frente</t>
        </is>
      </c>
      <c r="C4" s="19" t="inlineStr">
        <is>
          <t>Tipo</t>
        </is>
      </c>
      <c r="D4" s="19" t="inlineStr">
        <is>
          <t>Categoria</t>
        </is>
      </c>
      <c r="E4" s="19" t="inlineStr">
        <is>
          <t>Descrição</t>
        </is>
      </c>
      <c r="F4" s="19" t="inlineStr">
        <is>
          <t>Valor</t>
        </is>
      </c>
      <c r="G4" s="19" t="inlineStr">
        <is>
          <t>Forma de pagamento</t>
        </is>
      </c>
      <c r="H4" s="19" t="inlineStr">
        <is>
          <t>Cartão</t>
        </is>
      </c>
      <c r="I4" s="19" t="inlineStr">
        <is>
          <t>Parcela</t>
        </is>
      </c>
      <c r="J4" s="19" t="inlineStr">
        <is>
          <t>Status</t>
        </is>
      </c>
    </row>
    <row r="5">
      <c r="A5" s="20" t="n"/>
      <c r="B5" s="21" t="n"/>
      <c r="C5" s="21" t="n"/>
      <c r="D5" s="21" t="n"/>
      <c r="E5" s="21" t="n"/>
      <c r="F5" s="22" t="n"/>
      <c r="G5" s="21" t="n"/>
      <c r="H5" s="21" t="n"/>
      <c r="I5" s="21" t="n"/>
      <c r="J5" s="21" t="n"/>
    </row>
    <row r="6">
      <c r="A6" s="23" t="n"/>
      <c r="B6" s="24" t="n"/>
      <c r="C6" s="24" t="n"/>
      <c r="D6" s="24" t="n"/>
      <c r="E6" s="24" t="n"/>
      <c r="F6" s="25" t="n"/>
      <c r="G6" s="24" t="n"/>
      <c r="H6" s="24" t="n"/>
      <c r="I6" s="24" t="n"/>
      <c r="J6" s="24" t="n"/>
    </row>
    <row r="7">
      <c r="A7" s="20" t="n"/>
      <c r="B7" s="21" t="n"/>
      <c r="C7" s="21" t="n"/>
      <c r="D7" s="21" t="n"/>
      <c r="E7" s="21" t="n"/>
      <c r="F7" s="22" t="n"/>
      <c r="G7" s="21" t="n"/>
      <c r="H7" s="21" t="n"/>
      <c r="I7" s="21" t="n"/>
      <c r="J7" s="21" t="n"/>
    </row>
    <row r="8">
      <c r="A8" s="23" t="n"/>
      <c r="B8" s="24" t="n"/>
      <c r="C8" s="24" t="n"/>
      <c r="D8" s="24" t="n"/>
      <c r="E8" s="24" t="n"/>
      <c r="F8" s="25" t="n"/>
      <c r="G8" s="24" t="n"/>
      <c r="H8" s="24" t="n"/>
      <c r="I8" s="24" t="n"/>
      <c r="J8" s="24" t="n"/>
    </row>
    <row r="9">
      <c r="A9" s="20" t="n"/>
      <c r="B9" s="21" t="n"/>
      <c r="C9" s="21" t="n"/>
      <c r="D9" s="21" t="n"/>
      <c r="E9" s="21" t="n"/>
      <c r="F9" s="22" t="n"/>
      <c r="G9" s="21" t="n"/>
      <c r="H9" s="21" t="n"/>
      <c r="I9" s="21" t="n"/>
      <c r="J9" s="21" t="n"/>
    </row>
    <row r="10">
      <c r="A10" s="23" t="n"/>
      <c r="B10" s="24" t="n"/>
      <c r="C10" s="24" t="n"/>
      <c r="D10" s="24" t="n"/>
      <c r="E10" s="24" t="n"/>
      <c r="F10" s="25" t="n"/>
      <c r="G10" s="24" t="n"/>
      <c r="H10" s="24" t="n"/>
      <c r="I10" s="24" t="n"/>
      <c r="J10" s="24" t="n"/>
    </row>
    <row r="11">
      <c r="A11" s="20" t="n"/>
      <c r="B11" s="21" t="n"/>
      <c r="C11" s="21" t="n"/>
      <c r="D11" s="21" t="n"/>
      <c r="E11" s="21" t="n"/>
      <c r="F11" s="22" t="n"/>
      <c r="G11" s="21" t="n"/>
      <c r="H11" s="21" t="n"/>
      <c r="I11" s="21" t="n"/>
      <c r="J11" s="21" t="n"/>
    </row>
    <row r="12">
      <c r="A12" s="23" t="n"/>
      <c r="B12" s="24" t="n"/>
      <c r="C12" s="24" t="n"/>
      <c r="D12" s="24" t="n"/>
      <c r="E12" s="24" t="n"/>
      <c r="F12" s="25" t="n"/>
      <c r="G12" s="24" t="n"/>
      <c r="H12" s="24" t="n"/>
      <c r="I12" s="24" t="n"/>
      <c r="J12" s="24" t="n"/>
    </row>
    <row r="13">
      <c r="A13" s="20" t="n"/>
      <c r="B13" s="21" t="n"/>
      <c r="C13" s="21" t="n"/>
      <c r="D13" s="21" t="n"/>
      <c r="E13" s="21" t="n"/>
      <c r="F13" s="22" t="n"/>
      <c r="G13" s="21" t="n"/>
      <c r="H13" s="21" t="n"/>
      <c r="I13" s="21" t="n"/>
      <c r="J13" s="21" t="n"/>
    </row>
    <row r="14">
      <c r="A14" s="23" t="n"/>
      <c r="B14" s="24" t="n"/>
      <c r="C14" s="24" t="n"/>
      <c r="D14" s="24" t="n"/>
      <c r="E14" s="24" t="n"/>
      <c r="F14" s="25" t="n"/>
      <c r="G14" s="24" t="n"/>
      <c r="H14" s="24" t="n"/>
      <c r="I14" s="24" t="n"/>
      <c r="J14" s="24" t="n"/>
    </row>
    <row r="15">
      <c r="A15" s="20" t="n"/>
      <c r="B15" s="21" t="n"/>
      <c r="C15" s="21" t="n"/>
      <c r="D15" s="21" t="n"/>
      <c r="E15" s="21" t="n"/>
      <c r="F15" s="22" t="n"/>
      <c r="G15" s="21" t="n"/>
      <c r="H15" s="21" t="n"/>
      <c r="I15" s="21" t="n"/>
      <c r="J15" s="21" t="n"/>
    </row>
    <row r="16">
      <c r="A16" s="23" t="n"/>
      <c r="B16" s="24" t="n"/>
      <c r="C16" s="24" t="n"/>
      <c r="D16" s="24" t="n"/>
      <c r="E16" s="24" t="n"/>
      <c r="F16" s="25" t="n"/>
      <c r="G16" s="24" t="n"/>
      <c r="H16" s="24" t="n"/>
      <c r="I16" s="24" t="n"/>
      <c r="J16" s="24" t="n"/>
    </row>
    <row r="17">
      <c r="A17" s="20" t="n"/>
      <c r="B17" s="21" t="n"/>
      <c r="C17" s="21" t="n"/>
      <c r="D17" s="21" t="n"/>
      <c r="E17" s="21" t="n"/>
      <c r="F17" s="22" t="n"/>
      <c r="G17" s="21" t="n"/>
      <c r="H17" s="21" t="n"/>
      <c r="I17" s="21" t="n"/>
      <c r="J17" s="21" t="n"/>
    </row>
    <row r="18">
      <c r="A18" s="23" t="n"/>
      <c r="B18" s="24" t="n"/>
      <c r="C18" s="24" t="n"/>
      <c r="D18" s="24" t="n"/>
      <c r="E18" s="24" t="n"/>
      <c r="F18" s="25" t="n"/>
      <c r="G18" s="24" t="n"/>
      <c r="H18" s="24" t="n"/>
      <c r="I18" s="24" t="n"/>
      <c r="J18" s="24" t="n"/>
    </row>
    <row r="19">
      <c r="A19" s="20" t="n"/>
      <c r="B19" s="21" t="n"/>
      <c r="C19" s="21" t="n"/>
      <c r="D19" s="21" t="n"/>
      <c r="E19" s="21" t="n"/>
      <c r="F19" s="22" t="n"/>
      <c r="G19" s="21" t="n"/>
      <c r="H19" s="21" t="n"/>
      <c r="I19" s="21" t="n"/>
      <c r="J19" s="21" t="n"/>
    </row>
    <row r="20">
      <c r="A20" s="23" t="n"/>
      <c r="B20" s="24" t="n"/>
      <c r="C20" s="24" t="n"/>
      <c r="D20" s="24" t="n"/>
      <c r="E20" s="24" t="n"/>
      <c r="F20" s="25" t="n"/>
      <c r="G20" s="24" t="n"/>
      <c r="H20" s="24" t="n"/>
      <c r="I20" s="24" t="n"/>
      <c r="J20" s="24" t="n"/>
    </row>
    <row r="21">
      <c r="A21" s="20" t="n"/>
      <c r="B21" s="21" t="n"/>
      <c r="C21" s="21" t="n"/>
      <c r="D21" s="21" t="n"/>
      <c r="E21" s="21" t="n"/>
      <c r="F21" s="22" t="n"/>
      <c r="G21" s="21" t="n"/>
      <c r="H21" s="21" t="n"/>
      <c r="I21" s="21" t="n"/>
      <c r="J21" s="21" t="n"/>
    </row>
    <row r="22">
      <c r="A22" s="23" t="n"/>
      <c r="B22" s="24" t="n"/>
      <c r="C22" s="24" t="n"/>
      <c r="D22" s="24" t="n"/>
      <c r="E22" s="24" t="n"/>
      <c r="F22" s="25" t="n"/>
      <c r="G22" s="24" t="n"/>
      <c r="H22" s="24" t="n"/>
      <c r="I22" s="24" t="n"/>
      <c r="J22" s="24" t="n"/>
    </row>
    <row r="23">
      <c r="A23" s="20" t="n"/>
      <c r="B23" s="21" t="n"/>
      <c r="C23" s="21" t="n"/>
      <c r="D23" s="21" t="n"/>
      <c r="E23" s="21" t="n"/>
      <c r="F23" s="22" t="n"/>
      <c r="G23" s="21" t="n"/>
      <c r="H23" s="21" t="n"/>
      <c r="I23" s="21" t="n"/>
      <c r="J23" s="21" t="n"/>
    </row>
    <row r="24">
      <c r="A24" s="23" t="n"/>
      <c r="B24" s="24" t="n"/>
      <c r="C24" s="24" t="n"/>
      <c r="D24" s="24" t="n"/>
      <c r="E24" s="24" t="n"/>
      <c r="F24" s="25" t="n"/>
      <c r="G24" s="24" t="n"/>
      <c r="H24" s="24" t="n"/>
      <c r="I24" s="24" t="n"/>
      <c r="J24" s="24" t="n"/>
    </row>
    <row r="25">
      <c r="A25" s="20" t="n"/>
      <c r="B25" s="21" t="n"/>
      <c r="C25" s="21" t="n"/>
      <c r="D25" s="21" t="n"/>
      <c r="E25" s="21" t="n"/>
      <c r="F25" s="22" t="n"/>
      <c r="G25" s="21" t="n"/>
      <c r="H25" s="21" t="n"/>
      <c r="I25" s="21" t="n"/>
      <c r="J25" s="21" t="n"/>
    </row>
    <row r="26">
      <c r="A26" s="23" t="n"/>
      <c r="B26" s="24" t="n"/>
      <c r="C26" s="24" t="n"/>
      <c r="D26" s="24" t="n"/>
      <c r="E26" s="24" t="n"/>
      <c r="F26" s="25" t="n"/>
      <c r="G26" s="24" t="n"/>
      <c r="H26" s="24" t="n"/>
      <c r="I26" s="24" t="n"/>
      <c r="J26" s="24" t="n"/>
    </row>
    <row r="27">
      <c r="A27" s="20" t="n"/>
      <c r="B27" s="21" t="n"/>
      <c r="C27" s="21" t="n"/>
      <c r="D27" s="21" t="n"/>
      <c r="E27" s="21" t="n"/>
      <c r="F27" s="22" t="n"/>
      <c r="G27" s="21" t="n"/>
      <c r="H27" s="21" t="n"/>
      <c r="I27" s="21" t="n"/>
      <c r="J27" s="21" t="n"/>
    </row>
    <row r="28">
      <c r="A28" s="23" t="n"/>
      <c r="B28" s="24" t="n"/>
      <c r="C28" s="24" t="n"/>
      <c r="D28" s="24" t="n"/>
      <c r="E28" s="24" t="n"/>
      <c r="F28" s="25" t="n"/>
      <c r="G28" s="24" t="n"/>
      <c r="H28" s="24" t="n"/>
      <c r="I28" s="24" t="n"/>
      <c r="J28" s="24" t="n"/>
    </row>
    <row r="29">
      <c r="A29" s="20" t="n"/>
      <c r="B29" s="21" t="n"/>
      <c r="C29" s="21" t="n"/>
      <c r="D29" s="21" t="n"/>
      <c r="E29" s="21" t="n"/>
      <c r="F29" s="22" t="n"/>
      <c r="G29" s="21" t="n"/>
      <c r="H29" s="21" t="n"/>
      <c r="I29" s="21" t="n"/>
      <c r="J29" s="21" t="n"/>
    </row>
    <row r="30">
      <c r="A30" s="23" t="n"/>
      <c r="B30" s="24" t="n"/>
      <c r="C30" s="24" t="n"/>
      <c r="D30" s="24" t="n"/>
      <c r="E30" s="24" t="n"/>
      <c r="F30" s="25" t="n"/>
      <c r="G30" s="24" t="n"/>
      <c r="H30" s="24" t="n"/>
      <c r="I30" s="24" t="n"/>
      <c r="J30" s="24" t="n"/>
    </row>
    <row r="31">
      <c r="A31" s="20" t="n"/>
      <c r="B31" s="21" t="n"/>
      <c r="C31" s="21" t="n"/>
      <c r="D31" s="21" t="n"/>
      <c r="E31" s="21" t="n"/>
      <c r="F31" s="22" t="n"/>
      <c r="G31" s="21" t="n"/>
      <c r="H31" s="21" t="n"/>
      <c r="I31" s="21" t="n"/>
      <c r="J31" s="21" t="n"/>
    </row>
    <row r="32">
      <c r="A32" s="23" t="n"/>
      <c r="B32" s="24" t="n"/>
      <c r="C32" s="24" t="n"/>
      <c r="D32" s="24" t="n"/>
      <c r="E32" s="24" t="n"/>
      <c r="F32" s="25" t="n"/>
      <c r="G32" s="24" t="n"/>
      <c r="H32" s="24" t="n"/>
      <c r="I32" s="24" t="n"/>
      <c r="J32" s="24" t="n"/>
    </row>
    <row r="33">
      <c r="A33" s="20" t="n"/>
      <c r="B33" s="21" t="n"/>
      <c r="C33" s="21" t="n"/>
      <c r="D33" s="21" t="n"/>
      <c r="E33" s="21" t="n"/>
      <c r="F33" s="22" t="n"/>
      <c r="G33" s="21" t="n"/>
      <c r="H33" s="21" t="n"/>
      <c r="I33" s="21" t="n"/>
      <c r="J33" s="21" t="n"/>
    </row>
    <row r="34">
      <c r="A34" s="23" t="n"/>
      <c r="B34" s="24" t="n"/>
      <c r="C34" s="24" t="n"/>
      <c r="D34" s="24" t="n"/>
      <c r="E34" s="24" t="n"/>
      <c r="F34" s="25" t="n"/>
      <c r="G34" s="24" t="n"/>
      <c r="H34" s="24" t="n"/>
      <c r="I34" s="24" t="n"/>
      <c r="J34" s="24" t="n"/>
    </row>
    <row r="35">
      <c r="A35" s="20" t="n"/>
      <c r="B35" s="21" t="n"/>
      <c r="C35" s="21" t="n"/>
      <c r="D35" s="21" t="n"/>
      <c r="E35" s="21" t="n"/>
      <c r="F35" s="22" t="n"/>
      <c r="G35" s="21" t="n"/>
      <c r="H35" s="21" t="n"/>
      <c r="I35" s="21" t="n"/>
      <c r="J35" s="21" t="n"/>
    </row>
    <row r="36">
      <c r="A36" s="23" t="n"/>
      <c r="B36" s="24" t="n"/>
      <c r="C36" s="24" t="n"/>
      <c r="D36" s="24" t="n"/>
      <c r="E36" s="24" t="n"/>
      <c r="F36" s="25" t="n"/>
      <c r="G36" s="24" t="n"/>
      <c r="H36" s="24" t="n"/>
      <c r="I36" s="24" t="n"/>
      <c r="J36" s="24" t="n"/>
    </row>
    <row r="37">
      <c r="A37" s="20" t="n"/>
      <c r="B37" s="21" t="n"/>
      <c r="C37" s="21" t="n"/>
      <c r="D37" s="21" t="n"/>
      <c r="E37" s="21" t="n"/>
      <c r="F37" s="22" t="n"/>
      <c r="G37" s="21" t="n"/>
      <c r="H37" s="21" t="n"/>
      <c r="I37" s="21" t="n"/>
      <c r="J37" s="21" t="n"/>
    </row>
    <row r="38">
      <c r="A38" s="23" t="n"/>
      <c r="B38" s="24" t="n"/>
      <c r="C38" s="24" t="n"/>
      <c r="D38" s="24" t="n"/>
      <c r="E38" s="24" t="n"/>
      <c r="F38" s="25" t="n"/>
      <c r="G38" s="24" t="n"/>
      <c r="H38" s="24" t="n"/>
      <c r="I38" s="24" t="n"/>
      <c r="J38" s="24" t="n"/>
    </row>
    <row r="39">
      <c r="A39" s="20" t="n"/>
      <c r="B39" s="21" t="n"/>
      <c r="C39" s="21" t="n"/>
      <c r="D39" s="21" t="n"/>
      <c r="E39" s="21" t="n"/>
      <c r="F39" s="22" t="n"/>
      <c r="G39" s="21" t="n"/>
      <c r="H39" s="21" t="n"/>
      <c r="I39" s="21" t="n"/>
      <c r="J39" s="21" t="n"/>
    </row>
    <row r="40">
      <c r="A40" s="23" t="n"/>
      <c r="B40" s="24" t="n"/>
      <c r="C40" s="24" t="n"/>
      <c r="D40" s="24" t="n"/>
      <c r="E40" s="24" t="n"/>
      <c r="F40" s="25" t="n"/>
      <c r="G40" s="24" t="n"/>
      <c r="H40" s="24" t="n"/>
      <c r="I40" s="24" t="n"/>
      <c r="J40" s="24" t="n"/>
    </row>
    <row r="41">
      <c r="A41" s="20" t="n"/>
      <c r="B41" s="21" t="n"/>
      <c r="C41" s="21" t="n"/>
      <c r="D41" s="21" t="n"/>
      <c r="E41" s="21" t="n"/>
      <c r="F41" s="22" t="n"/>
      <c r="G41" s="21" t="n"/>
      <c r="H41" s="21" t="n"/>
      <c r="I41" s="21" t="n"/>
      <c r="J41" s="21" t="n"/>
    </row>
    <row r="42">
      <c r="A42" s="23" t="n"/>
      <c r="B42" s="24" t="n"/>
      <c r="C42" s="24" t="n"/>
      <c r="D42" s="24" t="n"/>
      <c r="E42" s="24" t="n"/>
      <c r="F42" s="25" t="n"/>
      <c r="G42" s="24" t="n"/>
      <c r="H42" s="24" t="n"/>
      <c r="I42" s="24" t="n"/>
      <c r="J42" s="24" t="n"/>
    </row>
    <row r="43">
      <c r="A43" s="20" t="n"/>
      <c r="B43" s="21" t="n"/>
      <c r="C43" s="21" t="n"/>
      <c r="D43" s="21" t="n"/>
      <c r="E43" s="21" t="n"/>
      <c r="F43" s="22" t="n"/>
      <c r="G43" s="21" t="n"/>
      <c r="H43" s="21" t="n"/>
      <c r="I43" s="21" t="n"/>
      <c r="J43" s="21" t="n"/>
    </row>
    <row r="44">
      <c r="A44" s="23" t="n"/>
      <c r="B44" s="24" t="n"/>
      <c r="C44" s="24" t="n"/>
      <c r="D44" s="24" t="n"/>
      <c r="E44" s="24" t="n"/>
      <c r="F44" s="25" t="n"/>
      <c r="G44" s="24" t="n"/>
      <c r="H44" s="24" t="n"/>
      <c r="I44" s="24" t="n"/>
      <c r="J44" s="24" t="n"/>
    </row>
    <row r="45">
      <c r="A45" s="20" t="n"/>
      <c r="B45" s="21" t="n"/>
      <c r="C45" s="21" t="n"/>
      <c r="D45" s="21" t="n"/>
      <c r="E45" s="21" t="n"/>
      <c r="F45" s="22" t="n"/>
      <c r="G45" s="21" t="n"/>
      <c r="H45" s="21" t="n"/>
      <c r="I45" s="21" t="n"/>
      <c r="J45" s="21" t="n"/>
    </row>
    <row r="46">
      <c r="A46" s="23" t="n"/>
      <c r="B46" s="24" t="n"/>
      <c r="C46" s="24" t="n"/>
      <c r="D46" s="24" t="n"/>
      <c r="E46" s="24" t="n"/>
      <c r="F46" s="25" t="n"/>
      <c r="G46" s="24" t="n"/>
      <c r="H46" s="24" t="n"/>
      <c r="I46" s="24" t="n"/>
      <c r="J46" s="24" t="n"/>
    </row>
    <row r="47">
      <c r="A47" s="20" t="n"/>
      <c r="B47" s="21" t="n"/>
      <c r="C47" s="21" t="n"/>
      <c r="D47" s="21" t="n"/>
      <c r="E47" s="21" t="n"/>
      <c r="F47" s="22" t="n"/>
      <c r="G47" s="21" t="n"/>
      <c r="H47" s="21" t="n"/>
      <c r="I47" s="21" t="n"/>
      <c r="J47" s="21" t="n"/>
    </row>
    <row r="48">
      <c r="A48" s="23" t="n"/>
      <c r="B48" s="24" t="n"/>
      <c r="C48" s="24" t="n"/>
      <c r="D48" s="24" t="n"/>
      <c r="E48" s="24" t="n"/>
      <c r="F48" s="25" t="n"/>
      <c r="G48" s="24" t="n"/>
      <c r="H48" s="24" t="n"/>
      <c r="I48" s="24" t="n"/>
      <c r="J48" s="24" t="n"/>
    </row>
    <row r="49">
      <c r="A49" s="20" t="n"/>
      <c r="B49" s="21" t="n"/>
      <c r="C49" s="21" t="n"/>
      <c r="D49" s="21" t="n"/>
      <c r="E49" s="21" t="n"/>
      <c r="F49" s="22" t="n"/>
      <c r="G49" s="21" t="n"/>
      <c r="H49" s="21" t="n"/>
      <c r="I49" s="21" t="n"/>
      <c r="J49" s="21" t="n"/>
    </row>
    <row r="50">
      <c r="A50" s="23" t="n"/>
      <c r="B50" s="24" t="n"/>
      <c r="C50" s="24" t="n"/>
      <c r="D50" s="24" t="n"/>
      <c r="E50" s="24" t="n"/>
      <c r="F50" s="25" t="n"/>
      <c r="G50" s="24" t="n"/>
      <c r="H50" s="24" t="n"/>
      <c r="I50" s="24" t="n"/>
      <c r="J50" s="24" t="n"/>
    </row>
    <row r="51">
      <c r="A51" s="20" t="n"/>
      <c r="B51" s="21" t="n"/>
      <c r="C51" s="21" t="n"/>
      <c r="D51" s="21" t="n"/>
      <c r="E51" s="21" t="n"/>
      <c r="F51" s="22" t="n"/>
      <c r="G51" s="21" t="n"/>
      <c r="H51" s="21" t="n"/>
      <c r="I51" s="21" t="n"/>
      <c r="J51" s="21" t="n"/>
    </row>
    <row r="52">
      <c r="A52" s="23" t="n"/>
      <c r="B52" s="24" t="n"/>
      <c r="C52" s="24" t="n"/>
      <c r="D52" s="24" t="n"/>
      <c r="E52" s="24" t="n"/>
      <c r="F52" s="25" t="n"/>
      <c r="G52" s="24" t="n"/>
      <c r="H52" s="24" t="n"/>
      <c r="I52" s="24" t="n"/>
      <c r="J52" s="24" t="n"/>
    </row>
    <row r="53">
      <c r="A53" s="20" t="n"/>
      <c r="B53" s="21" t="n"/>
      <c r="C53" s="21" t="n"/>
      <c r="D53" s="21" t="n"/>
      <c r="E53" s="21" t="n"/>
      <c r="F53" s="22" t="n"/>
      <c r="G53" s="21" t="n"/>
      <c r="H53" s="21" t="n"/>
      <c r="I53" s="21" t="n"/>
      <c r="J53" s="21" t="n"/>
    </row>
    <row r="54">
      <c r="A54" s="23" t="n"/>
      <c r="B54" s="24" t="n"/>
      <c r="C54" s="24" t="n"/>
      <c r="D54" s="24" t="n"/>
      <c r="E54" s="24" t="n"/>
      <c r="F54" s="25" t="n"/>
      <c r="G54" s="24" t="n"/>
      <c r="H54" s="24" t="n"/>
      <c r="I54" s="24" t="n"/>
      <c r="J54" s="24" t="n"/>
    </row>
    <row r="55">
      <c r="A55" s="20" t="n"/>
      <c r="B55" s="21" t="n"/>
      <c r="C55" s="21" t="n"/>
      <c r="D55" s="21" t="n"/>
      <c r="E55" s="21" t="n"/>
      <c r="F55" s="22" t="n"/>
      <c r="G55" s="21" t="n"/>
      <c r="H55" s="21" t="n"/>
      <c r="I55" s="21" t="n"/>
      <c r="J55" s="21" t="n"/>
    </row>
    <row r="56">
      <c r="A56" s="23" t="n"/>
      <c r="B56" s="24" t="n"/>
      <c r="C56" s="24" t="n"/>
      <c r="D56" s="24" t="n"/>
      <c r="E56" s="24" t="n"/>
      <c r="F56" s="25" t="n"/>
      <c r="G56" s="24" t="n"/>
      <c r="H56" s="24" t="n"/>
      <c r="I56" s="24" t="n"/>
      <c r="J56" s="24" t="n"/>
    </row>
    <row r="57">
      <c r="A57" s="20" t="n"/>
      <c r="B57" s="21" t="n"/>
      <c r="C57" s="21" t="n"/>
      <c r="D57" s="21" t="n"/>
      <c r="E57" s="21" t="n"/>
      <c r="F57" s="22" t="n"/>
      <c r="G57" s="21" t="n"/>
      <c r="H57" s="21" t="n"/>
      <c r="I57" s="21" t="n"/>
      <c r="J57" s="21" t="n"/>
    </row>
    <row r="58">
      <c r="A58" s="23" t="n"/>
      <c r="B58" s="24" t="n"/>
      <c r="C58" s="24" t="n"/>
      <c r="D58" s="24" t="n"/>
      <c r="E58" s="24" t="n"/>
      <c r="F58" s="25" t="n"/>
      <c r="G58" s="24" t="n"/>
      <c r="H58" s="24" t="n"/>
      <c r="I58" s="24" t="n"/>
      <c r="J58" s="24" t="n"/>
    </row>
    <row r="59">
      <c r="A59" s="20" t="n"/>
      <c r="B59" s="21" t="n"/>
      <c r="C59" s="21" t="n"/>
      <c r="D59" s="21" t="n"/>
      <c r="E59" s="21" t="n"/>
      <c r="F59" s="22" t="n"/>
      <c r="G59" s="21" t="n"/>
      <c r="H59" s="21" t="n"/>
      <c r="I59" s="21" t="n"/>
      <c r="J59" s="21" t="n"/>
    </row>
    <row r="60">
      <c r="A60" s="23" t="n"/>
      <c r="B60" s="24" t="n"/>
      <c r="C60" s="24" t="n"/>
      <c r="D60" s="24" t="n"/>
      <c r="E60" s="24" t="n"/>
      <c r="F60" s="25" t="n"/>
      <c r="G60" s="24" t="n"/>
      <c r="H60" s="24" t="n"/>
      <c r="I60" s="24" t="n"/>
      <c r="J60" s="24" t="n"/>
    </row>
    <row r="61">
      <c r="A61" s="17" t="n"/>
      <c r="F61" s="26" t="n"/>
    </row>
    <row r="62">
      <c r="A62" s="17" t="n"/>
      <c r="F62" s="26" t="n"/>
    </row>
    <row r="63">
      <c r="A63" s="17" t="n"/>
      <c r="F63" s="26" t="n"/>
    </row>
    <row r="64">
      <c r="A64" s="17" t="n"/>
      <c r="F64" s="26" t="n"/>
    </row>
    <row r="65">
      <c r="A65" s="17" t="n"/>
      <c r="F65" s="26" t="n"/>
    </row>
    <row r="66">
      <c r="A66" s="17" t="n"/>
      <c r="F66" s="26" t="n"/>
    </row>
    <row r="67">
      <c r="A67" s="17" t="n"/>
      <c r="F67" s="26" t="n"/>
    </row>
    <row r="68">
      <c r="A68" s="17" t="n"/>
      <c r="F68" s="26" t="n"/>
    </row>
    <row r="69">
      <c r="A69" s="17" t="n"/>
      <c r="F69" s="26" t="n"/>
    </row>
    <row r="70">
      <c r="A70" s="17" t="n"/>
      <c r="F70" s="26" t="n"/>
    </row>
    <row r="71">
      <c r="A71" s="17" t="n"/>
      <c r="F71" s="26" t="n"/>
    </row>
    <row r="72">
      <c r="A72" s="17" t="n"/>
      <c r="F72" s="26" t="n"/>
    </row>
    <row r="73">
      <c r="A73" s="17" t="n"/>
      <c r="F73" s="26" t="n"/>
    </row>
    <row r="74">
      <c r="A74" s="17" t="n"/>
      <c r="F74" s="26" t="n"/>
    </row>
    <row r="75">
      <c r="A75" s="17" t="n"/>
      <c r="F75" s="26" t="n"/>
    </row>
    <row r="76">
      <c r="A76" s="17" t="n"/>
      <c r="F76" s="26" t="n"/>
    </row>
    <row r="77">
      <c r="A77" s="17" t="n"/>
      <c r="F77" s="26" t="n"/>
    </row>
    <row r="78">
      <c r="A78" s="17" t="n"/>
      <c r="F78" s="26" t="n"/>
    </row>
    <row r="79">
      <c r="A79" s="17" t="n"/>
      <c r="F79" s="26" t="n"/>
    </row>
    <row r="80">
      <c r="A80" s="17" t="n"/>
      <c r="F80" s="26" t="n"/>
    </row>
    <row r="81">
      <c r="A81" s="17" t="n"/>
      <c r="F81" s="26" t="n"/>
    </row>
    <row r="82">
      <c r="A82" s="17" t="n"/>
      <c r="F82" s="26" t="n"/>
    </row>
    <row r="83">
      <c r="A83" s="17" t="n"/>
      <c r="F83" s="26" t="n"/>
    </row>
    <row r="84">
      <c r="A84" s="17" t="n"/>
      <c r="F84" s="26" t="n"/>
    </row>
    <row r="85">
      <c r="A85" s="17" t="n"/>
      <c r="F85" s="26" t="n"/>
    </row>
    <row r="86">
      <c r="A86" s="17" t="n"/>
      <c r="F86" s="26" t="n"/>
    </row>
    <row r="87">
      <c r="A87" s="17" t="n"/>
      <c r="F87" s="26" t="n"/>
    </row>
    <row r="88">
      <c r="A88" s="17" t="n"/>
      <c r="F88" s="26" t="n"/>
    </row>
    <row r="89">
      <c r="A89" s="17" t="n"/>
      <c r="F89" s="26" t="n"/>
    </row>
    <row r="90">
      <c r="A90" s="17" t="n"/>
      <c r="F90" s="26" t="n"/>
    </row>
    <row r="91">
      <c r="A91" s="17" t="n"/>
      <c r="F91" s="26" t="n"/>
    </row>
    <row r="92">
      <c r="A92" s="17" t="n"/>
      <c r="F92" s="26" t="n"/>
    </row>
    <row r="93">
      <c r="A93" s="17" t="n"/>
      <c r="F93" s="26" t="n"/>
    </row>
    <row r="94">
      <c r="A94" s="17" t="n"/>
      <c r="F94" s="26" t="n"/>
    </row>
    <row r="95">
      <c r="A95" s="17" t="n"/>
      <c r="F95" s="26" t="n"/>
    </row>
    <row r="96">
      <c r="A96" s="17" t="n"/>
      <c r="F96" s="26" t="n"/>
    </row>
    <row r="97">
      <c r="A97" s="17" t="n"/>
      <c r="F97" s="26" t="n"/>
    </row>
    <row r="98">
      <c r="A98" s="17" t="n"/>
      <c r="F98" s="26" t="n"/>
    </row>
    <row r="99">
      <c r="A99" s="17" t="n"/>
      <c r="F99" s="26" t="n"/>
    </row>
    <row r="100">
      <c r="A100" s="17" t="n"/>
      <c r="F100" s="26" t="n"/>
    </row>
    <row r="101">
      <c r="A101" s="17" t="n"/>
      <c r="F101" s="26" t="n"/>
    </row>
    <row r="102">
      <c r="A102" s="17" t="n"/>
      <c r="F102" s="26" t="n"/>
    </row>
    <row r="103">
      <c r="A103" s="17" t="n"/>
      <c r="F103" s="26" t="n"/>
    </row>
    <row r="104">
      <c r="A104" s="17" t="n"/>
      <c r="F104" s="26" t="n"/>
    </row>
    <row r="105">
      <c r="A105" s="17" t="n"/>
      <c r="F105" s="26" t="n"/>
    </row>
    <row r="106">
      <c r="A106" s="17" t="n"/>
      <c r="F106" s="26" t="n"/>
    </row>
    <row r="107">
      <c r="A107" s="17" t="n"/>
      <c r="F107" s="26" t="n"/>
    </row>
    <row r="108">
      <c r="A108" s="17" t="n"/>
      <c r="F108" s="26" t="n"/>
    </row>
    <row r="109">
      <c r="A109" s="17" t="n"/>
      <c r="F109" s="26" t="n"/>
    </row>
    <row r="110">
      <c r="A110" s="17" t="n"/>
      <c r="F110" s="26" t="n"/>
    </row>
    <row r="111">
      <c r="A111" s="17" t="n"/>
      <c r="F111" s="26" t="n"/>
    </row>
    <row r="112">
      <c r="A112" s="17" t="n"/>
      <c r="F112" s="26" t="n"/>
    </row>
    <row r="113">
      <c r="A113" s="17" t="n"/>
      <c r="F113" s="26" t="n"/>
    </row>
    <row r="114">
      <c r="A114" s="17" t="n"/>
      <c r="F114" s="26" t="n"/>
    </row>
    <row r="115">
      <c r="A115" s="17" t="n"/>
      <c r="F115" s="26" t="n"/>
    </row>
    <row r="116">
      <c r="A116" s="17" t="n"/>
      <c r="F116" s="26" t="n"/>
    </row>
    <row r="117">
      <c r="A117" s="17" t="n"/>
      <c r="F117" s="26" t="n"/>
    </row>
    <row r="118">
      <c r="A118" s="17" t="n"/>
      <c r="F118" s="26" t="n"/>
    </row>
    <row r="119">
      <c r="A119" s="17" t="n"/>
      <c r="F119" s="26" t="n"/>
    </row>
    <row r="120">
      <c r="A120" s="17" t="n"/>
      <c r="F120" s="26" t="n"/>
    </row>
    <row r="121">
      <c r="A121" s="17" t="n"/>
      <c r="F121" s="26" t="n"/>
    </row>
    <row r="122">
      <c r="A122" s="17" t="n"/>
      <c r="F122" s="26" t="n"/>
    </row>
    <row r="123">
      <c r="A123" s="17" t="n"/>
      <c r="F123" s="26" t="n"/>
    </row>
    <row r="124">
      <c r="A124" s="17" t="n"/>
      <c r="F124" s="26" t="n"/>
    </row>
    <row r="125">
      <c r="A125" s="17" t="n"/>
      <c r="F125" s="26" t="n"/>
    </row>
    <row r="126">
      <c r="A126" s="17" t="n"/>
      <c r="F126" s="26" t="n"/>
    </row>
    <row r="127">
      <c r="A127" s="17" t="n"/>
      <c r="F127" s="26" t="n"/>
    </row>
    <row r="128">
      <c r="A128" s="17" t="n"/>
      <c r="F128" s="26" t="n"/>
    </row>
    <row r="129">
      <c r="A129" s="17" t="n"/>
      <c r="F129" s="26" t="n"/>
    </row>
    <row r="130">
      <c r="A130" s="17" t="n"/>
      <c r="F130" s="26" t="n"/>
    </row>
    <row r="131">
      <c r="A131" s="17" t="n"/>
      <c r="F131" s="26" t="n"/>
    </row>
    <row r="132">
      <c r="A132" s="17" t="n"/>
      <c r="F132" s="26" t="n"/>
    </row>
    <row r="133">
      <c r="A133" s="17" t="n"/>
      <c r="F133" s="26" t="n"/>
    </row>
    <row r="134">
      <c r="A134" s="17" t="n"/>
      <c r="F134" s="26" t="n"/>
    </row>
    <row r="135">
      <c r="A135" s="17" t="n"/>
      <c r="F135" s="26" t="n"/>
    </row>
    <row r="136">
      <c r="A136" s="17" t="n"/>
      <c r="F136" s="26" t="n"/>
    </row>
    <row r="137">
      <c r="A137" s="17" t="n"/>
      <c r="F137" s="26" t="n"/>
    </row>
    <row r="138">
      <c r="A138" s="17" t="n"/>
      <c r="F138" s="26" t="n"/>
    </row>
    <row r="139">
      <c r="A139" s="17" t="n"/>
      <c r="F139" s="26" t="n"/>
    </row>
    <row r="140">
      <c r="A140" s="17" t="n"/>
      <c r="F140" s="26" t="n"/>
    </row>
    <row r="141">
      <c r="A141" s="17" t="n"/>
      <c r="F141" s="26" t="n"/>
    </row>
    <row r="142">
      <c r="A142" s="17" t="n"/>
      <c r="F142" s="26" t="n"/>
    </row>
    <row r="143">
      <c r="A143" s="17" t="n"/>
      <c r="F143" s="26" t="n"/>
    </row>
    <row r="144">
      <c r="A144" s="17" t="n"/>
      <c r="F144" s="26" t="n"/>
    </row>
    <row r="145">
      <c r="A145" s="17" t="n"/>
      <c r="F145" s="26" t="n"/>
    </row>
    <row r="146">
      <c r="A146" s="17" t="n"/>
      <c r="F146" s="26" t="n"/>
    </row>
    <row r="147">
      <c r="A147" s="17" t="n"/>
      <c r="F147" s="26" t="n"/>
    </row>
    <row r="148">
      <c r="A148" s="17" t="n"/>
      <c r="F148" s="26" t="n"/>
    </row>
    <row r="149">
      <c r="A149" s="17" t="n"/>
      <c r="F149" s="26" t="n"/>
    </row>
    <row r="150">
      <c r="A150" s="17" t="n"/>
      <c r="F150" s="26" t="n"/>
    </row>
    <row r="151">
      <c r="A151" s="17" t="n"/>
      <c r="F151" s="26" t="n"/>
    </row>
    <row r="152">
      <c r="A152" s="17" t="n"/>
      <c r="F152" s="26" t="n"/>
    </row>
    <row r="153">
      <c r="A153" s="17" t="n"/>
      <c r="F153" s="26" t="n"/>
    </row>
    <row r="154">
      <c r="A154" s="17" t="n"/>
      <c r="F154" s="26" t="n"/>
    </row>
    <row r="155">
      <c r="A155" s="17" t="n"/>
      <c r="F155" s="26" t="n"/>
    </row>
    <row r="156">
      <c r="A156" s="17" t="n"/>
      <c r="F156" s="26" t="n"/>
    </row>
    <row r="157">
      <c r="A157" s="17" t="n"/>
      <c r="F157" s="26" t="n"/>
    </row>
    <row r="158">
      <c r="A158" s="17" t="n"/>
      <c r="F158" s="26" t="n"/>
    </row>
    <row r="159">
      <c r="A159" s="17" t="n"/>
      <c r="F159" s="26" t="n"/>
    </row>
    <row r="160">
      <c r="A160" s="17" t="n"/>
      <c r="F160" s="26" t="n"/>
    </row>
    <row r="161">
      <c r="A161" s="17" t="n"/>
      <c r="F161" s="26" t="n"/>
    </row>
    <row r="162">
      <c r="A162" s="17" t="n"/>
      <c r="F162" s="26" t="n"/>
    </row>
    <row r="163">
      <c r="A163" s="17" t="n"/>
      <c r="F163" s="26" t="n"/>
    </row>
    <row r="164">
      <c r="A164" s="17" t="n"/>
      <c r="F164" s="26" t="n"/>
    </row>
    <row r="165">
      <c r="A165" s="17" t="n"/>
      <c r="F165" s="26" t="n"/>
    </row>
    <row r="166">
      <c r="A166" s="17" t="n"/>
      <c r="F166" s="26" t="n"/>
    </row>
    <row r="167">
      <c r="A167" s="17" t="n"/>
      <c r="F167" s="26" t="n"/>
    </row>
    <row r="168">
      <c r="A168" s="17" t="n"/>
      <c r="F168" s="26" t="n"/>
    </row>
    <row r="169">
      <c r="A169" s="17" t="n"/>
      <c r="F169" s="26" t="n"/>
    </row>
    <row r="170">
      <c r="A170" s="17" t="n"/>
      <c r="F170" s="26" t="n"/>
    </row>
    <row r="171">
      <c r="A171" s="17" t="n"/>
      <c r="F171" s="26" t="n"/>
    </row>
    <row r="172">
      <c r="A172" s="17" t="n"/>
      <c r="F172" s="26" t="n"/>
    </row>
    <row r="173">
      <c r="A173" s="17" t="n"/>
      <c r="F173" s="26" t="n"/>
    </row>
    <row r="174">
      <c r="A174" s="17" t="n"/>
      <c r="F174" s="26" t="n"/>
    </row>
    <row r="175">
      <c r="A175" s="17" t="n"/>
      <c r="F175" s="26" t="n"/>
    </row>
    <row r="176">
      <c r="A176" s="17" t="n"/>
      <c r="F176" s="26" t="n"/>
    </row>
    <row r="177">
      <c r="A177" s="17" t="n"/>
      <c r="F177" s="26" t="n"/>
    </row>
    <row r="178">
      <c r="A178" s="17" t="n"/>
      <c r="F178" s="26" t="n"/>
    </row>
    <row r="179">
      <c r="A179" s="17" t="n"/>
      <c r="F179" s="26" t="n"/>
    </row>
    <row r="180">
      <c r="A180" s="17" t="n"/>
      <c r="F180" s="26" t="n"/>
    </row>
    <row r="181">
      <c r="A181" s="17" t="n"/>
      <c r="F181" s="26" t="n"/>
    </row>
    <row r="182">
      <c r="A182" s="17" t="n"/>
      <c r="F182" s="26" t="n"/>
    </row>
    <row r="183">
      <c r="A183" s="17" t="n"/>
      <c r="F183" s="26" t="n"/>
    </row>
    <row r="184">
      <c r="A184" s="17" t="n"/>
      <c r="F184" s="26" t="n"/>
    </row>
    <row r="185">
      <c r="A185" s="17" t="n"/>
      <c r="F185" s="26" t="n"/>
    </row>
    <row r="186">
      <c r="A186" s="17" t="n"/>
      <c r="F186" s="26" t="n"/>
    </row>
    <row r="187">
      <c r="A187" s="17" t="n"/>
      <c r="F187" s="26" t="n"/>
    </row>
    <row r="188">
      <c r="A188" s="17" t="n"/>
      <c r="F188" s="26" t="n"/>
    </row>
    <row r="189">
      <c r="A189" s="17" t="n"/>
      <c r="F189" s="26" t="n"/>
    </row>
    <row r="190">
      <c r="A190" s="17" t="n"/>
      <c r="F190" s="26" t="n"/>
    </row>
    <row r="191">
      <c r="A191" s="17" t="n"/>
      <c r="F191" s="26" t="n"/>
    </row>
    <row r="192">
      <c r="A192" s="17" t="n"/>
      <c r="F192" s="26" t="n"/>
    </row>
    <row r="193">
      <c r="A193" s="17" t="n"/>
      <c r="F193" s="26" t="n"/>
    </row>
    <row r="194">
      <c r="A194" s="17" t="n"/>
      <c r="F194" s="26" t="n"/>
    </row>
    <row r="195">
      <c r="A195" s="17" t="n"/>
      <c r="F195" s="26" t="n"/>
    </row>
    <row r="196">
      <c r="A196" s="17" t="n"/>
      <c r="F196" s="26" t="n"/>
    </row>
    <row r="197">
      <c r="A197" s="17" t="n"/>
      <c r="F197" s="26" t="n"/>
    </row>
    <row r="198">
      <c r="A198" s="17" t="n"/>
      <c r="F198" s="26" t="n"/>
    </row>
    <row r="199">
      <c r="A199" s="17" t="n"/>
      <c r="F199" s="26" t="n"/>
    </row>
    <row r="200">
      <c r="A200" s="17" t="n"/>
      <c r="F200" s="26" t="n"/>
    </row>
    <row r="201">
      <c r="A201" s="17" t="n"/>
      <c r="F201" s="26" t="n"/>
    </row>
    <row r="202">
      <c r="A202" s="17" t="n"/>
      <c r="F202" s="26" t="n"/>
    </row>
    <row r="203">
      <c r="A203" s="17" t="n"/>
      <c r="F203" s="26" t="n"/>
    </row>
    <row r="204">
      <c r="A204" s="17" t="n"/>
      <c r="F204" s="26" t="n"/>
    </row>
    <row r="205">
      <c r="A205" s="17" t="n"/>
      <c r="F205" s="26" t="n"/>
    </row>
    <row r="206">
      <c r="A206" s="17" t="n"/>
      <c r="F206" s="26" t="n"/>
    </row>
    <row r="207">
      <c r="A207" s="17" t="n"/>
      <c r="F207" s="26" t="n"/>
    </row>
    <row r="208">
      <c r="A208" s="17" t="n"/>
      <c r="F208" s="26" t="n"/>
    </row>
    <row r="209">
      <c r="A209" s="17" t="n"/>
      <c r="F209" s="26" t="n"/>
    </row>
    <row r="210">
      <c r="A210" s="17" t="n"/>
      <c r="F210" s="26" t="n"/>
    </row>
    <row r="211">
      <c r="A211" s="17" t="n"/>
      <c r="F211" s="26" t="n"/>
    </row>
    <row r="212">
      <c r="A212" s="17" t="n"/>
      <c r="F212" s="26" t="n"/>
    </row>
    <row r="213">
      <c r="A213" s="17" t="n"/>
      <c r="F213" s="26" t="n"/>
    </row>
    <row r="214">
      <c r="A214" s="17" t="n"/>
      <c r="F214" s="26" t="n"/>
    </row>
    <row r="215">
      <c r="A215" s="17" t="n"/>
      <c r="F215" s="26" t="n"/>
    </row>
    <row r="216">
      <c r="A216" s="17" t="n"/>
      <c r="F216" s="26" t="n"/>
    </row>
    <row r="217">
      <c r="A217" s="17" t="n"/>
      <c r="F217" s="26" t="n"/>
    </row>
    <row r="218">
      <c r="A218" s="17" t="n"/>
      <c r="F218" s="26" t="n"/>
    </row>
    <row r="219">
      <c r="A219" s="17" t="n"/>
      <c r="F219" s="26" t="n"/>
    </row>
    <row r="220">
      <c r="A220" s="17" t="n"/>
      <c r="F220" s="26" t="n"/>
    </row>
    <row r="221">
      <c r="A221" s="17" t="n"/>
      <c r="F221" s="26" t="n"/>
    </row>
    <row r="222">
      <c r="A222" s="17" t="n"/>
      <c r="F222" s="26" t="n"/>
    </row>
    <row r="223">
      <c r="A223" s="17" t="n"/>
      <c r="F223" s="26" t="n"/>
    </row>
    <row r="224">
      <c r="A224" s="17" t="n"/>
      <c r="F224" s="26" t="n"/>
    </row>
    <row r="225">
      <c r="A225" s="17" t="n"/>
      <c r="F225" s="26" t="n"/>
    </row>
    <row r="226">
      <c r="A226" s="17" t="n"/>
      <c r="F226" s="26" t="n"/>
    </row>
    <row r="227">
      <c r="A227" s="17" t="n"/>
      <c r="F227" s="26" t="n"/>
    </row>
    <row r="228">
      <c r="A228" s="17" t="n"/>
      <c r="F228" s="26" t="n"/>
    </row>
    <row r="229">
      <c r="A229" s="17" t="n"/>
      <c r="F229" s="26" t="n"/>
    </row>
    <row r="230">
      <c r="A230" s="17" t="n"/>
      <c r="F230" s="26" t="n"/>
    </row>
    <row r="231">
      <c r="A231" s="17" t="n"/>
      <c r="F231" s="26" t="n"/>
    </row>
    <row r="232">
      <c r="A232" s="17" t="n"/>
      <c r="F232" s="26" t="n"/>
    </row>
    <row r="233">
      <c r="A233" s="17" t="n"/>
      <c r="F233" s="26" t="n"/>
    </row>
    <row r="234">
      <c r="A234" s="17" t="n"/>
      <c r="F234" s="26" t="n"/>
    </row>
    <row r="235">
      <c r="A235" s="17" t="n"/>
      <c r="F235" s="26" t="n"/>
    </row>
    <row r="236">
      <c r="A236" s="17" t="n"/>
      <c r="F236" s="26" t="n"/>
    </row>
    <row r="237">
      <c r="A237" s="17" t="n"/>
      <c r="F237" s="26" t="n"/>
    </row>
    <row r="238">
      <c r="A238" s="17" t="n"/>
      <c r="F238" s="26" t="n"/>
    </row>
    <row r="239">
      <c r="A239" s="17" t="n"/>
      <c r="F239" s="26" t="n"/>
    </row>
    <row r="240">
      <c r="A240" s="17" t="n"/>
      <c r="F240" s="26" t="n"/>
    </row>
    <row r="241">
      <c r="A241" s="17" t="n"/>
      <c r="F241" s="26" t="n"/>
    </row>
    <row r="242">
      <c r="A242" s="17" t="n"/>
      <c r="F242" s="26" t="n"/>
    </row>
    <row r="243">
      <c r="A243" s="17" t="n"/>
      <c r="F243" s="26" t="n"/>
    </row>
    <row r="244">
      <c r="A244" s="17" t="n"/>
      <c r="F244" s="26" t="n"/>
    </row>
    <row r="245">
      <c r="A245" s="17" t="n"/>
      <c r="F245" s="26" t="n"/>
    </row>
    <row r="246">
      <c r="A246" s="17" t="n"/>
      <c r="F246" s="26" t="n"/>
    </row>
    <row r="247">
      <c r="A247" s="17" t="n"/>
      <c r="F247" s="26" t="n"/>
    </row>
    <row r="248">
      <c r="A248" s="17" t="n"/>
      <c r="F248" s="26" t="n"/>
    </row>
    <row r="249">
      <c r="A249" s="17" t="n"/>
      <c r="F249" s="26" t="n"/>
    </row>
    <row r="250">
      <c r="A250" s="17" t="n"/>
      <c r="F250" s="26" t="n"/>
    </row>
    <row r="251">
      <c r="A251" s="17" t="n"/>
      <c r="F251" s="26" t="n"/>
    </row>
    <row r="252">
      <c r="A252" s="17" t="n"/>
      <c r="F252" s="26" t="n"/>
    </row>
    <row r="253">
      <c r="A253" s="17" t="n"/>
      <c r="F253" s="26" t="n"/>
    </row>
    <row r="254">
      <c r="A254" s="17" t="n"/>
      <c r="F254" s="26" t="n"/>
    </row>
    <row r="255">
      <c r="A255" s="17" t="n"/>
      <c r="F255" s="26" t="n"/>
    </row>
    <row r="256">
      <c r="A256" s="17" t="n"/>
      <c r="F256" s="26" t="n"/>
    </row>
    <row r="257">
      <c r="A257" s="17" t="n"/>
      <c r="F257" s="26" t="n"/>
    </row>
    <row r="258">
      <c r="A258" s="17" t="n"/>
      <c r="F258" s="26" t="n"/>
    </row>
    <row r="259">
      <c r="A259" s="17" t="n"/>
      <c r="F259" s="26" t="n"/>
    </row>
    <row r="260">
      <c r="A260" s="17" t="n"/>
      <c r="F260" s="26" t="n"/>
    </row>
    <row r="261">
      <c r="A261" s="17" t="n"/>
      <c r="F261" s="26" t="n"/>
    </row>
    <row r="262">
      <c r="A262" s="17" t="n"/>
      <c r="F262" s="26" t="n"/>
    </row>
    <row r="263">
      <c r="A263" s="17" t="n"/>
      <c r="F263" s="26" t="n"/>
    </row>
    <row r="264">
      <c r="A264" s="17" t="n"/>
      <c r="F264" s="26" t="n"/>
    </row>
    <row r="265">
      <c r="A265" s="17" t="n"/>
      <c r="F265" s="26" t="n"/>
    </row>
    <row r="266">
      <c r="A266" s="17" t="n"/>
      <c r="F266" s="26" t="n"/>
    </row>
    <row r="267">
      <c r="A267" s="17" t="n"/>
      <c r="F267" s="26" t="n"/>
    </row>
    <row r="268">
      <c r="A268" s="17" t="n"/>
      <c r="F268" s="26" t="n"/>
    </row>
    <row r="269">
      <c r="A269" s="17" t="n"/>
      <c r="F269" s="26" t="n"/>
    </row>
    <row r="270">
      <c r="A270" s="17" t="n"/>
      <c r="F270" s="26" t="n"/>
    </row>
    <row r="271">
      <c r="A271" s="17" t="n"/>
      <c r="F271" s="26" t="n"/>
    </row>
    <row r="272">
      <c r="A272" s="17" t="n"/>
      <c r="F272" s="26" t="n"/>
    </row>
    <row r="273">
      <c r="A273" s="17" t="n"/>
      <c r="F273" s="26" t="n"/>
    </row>
    <row r="274">
      <c r="A274" s="17" t="n"/>
      <c r="F274" s="26" t="n"/>
    </row>
    <row r="275">
      <c r="A275" s="17" t="n"/>
      <c r="F275" s="26" t="n"/>
    </row>
    <row r="276">
      <c r="A276" s="17" t="n"/>
      <c r="F276" s="26" t="n"/>
    </row>
    <row r="277">
      <c r="A277" s="17" t="n"/>
      <c r="F277" s="26" t="n"/>
    </row>
    <row r="278">
      <c r="A278" s="17" t="n"/>
      <c r="F278" s="26" t="n"/>
    </row>
    <row r="279">
      <c r="A279" s="17" t="n"/>
      <c r="F279" s="26" t="n"/>
    </row>
    <row r="280">
      <c r="A280" s="17" t="n"/>
      <c r="F280" s="26" t="n"/>
    </row>
    <row r="281">
      <c r="A281" s="17" t="n"/>
      <c r="F281" s="26" t="n"/>
    </row>
    <row r="282">
      <c r="A282" s="17" t="n"/>
      <c r="F282" s="26" t="n"/>
    </row>
    <row r="283">
      <c r="A283" s="17" t="n"/>
      <c r="F283" s="26" t="n"/>
    </row>
    <row r="284">
      <c r="A284" s="17" t="n"/>
      <c r="F284" s="26" t="n"/>
    </row>
    <row r="285">
      <c r="A285" s="17" t="n"/>
      <c r="F285" s="26" t="n"/>
    </row>
    <row r="286">
      <c r="A286" s="17" t="n"/>
      <c r="F286" s="26" t="n"/>
    </row>
    <row r="287">
      <c r="A287" s="17" t="n"/>
      <c r="F287" s="26" t="n"/>
    </row>
    <row r="288">
      <c r="A288" s="17" t="n"/>
      <c r="F288" s="26" t="n"/>
    </row>
    <row r="289">
      <c r="A289" s="17" t="n"/>
      <c r="F289" s="26" t="n"/>
    </row>
    <row r="290">
      <c r="A290" s="17" t="n"/>
      <c r="F290" s="26" t="n"/>
    </row>
    <row r="291">
      <c r="A291" s="17" t="n"/>
      <c r="F291" s="26" t="n"/>
    </row>
    <row r="292">
      <c r="A292" s="17" t="n"/>
      <c r="F292" s="26" t="n"/>
    </row>
    <row r="293">
      <c r="A293" s="17" t="n"/>
      <c r="F293" s="26" t="n"/>
    </row>
    <row r="294">
      <c r="A294" s="17" t="n"/>
      <c r="F294" s="26" t="n"/>
    </row>
    <row r="295">
      <c r="A295" s="17" t="n"/>
      <c r="F295" s="26" t="n"/>
    </row>
    <row r="296">
      <c r="A296" s="17" t="n"/>
      <c r="F296" s="26" t="n"/>
    </row>
    <row r="297">
      <c r="A297" s="17" t="n"/>
      <c r="F297" s="26" t="n"/>
    </row>
    <row r="298">
      <c r="A298" s="17" t="n"/>
      <c r="F298" s="26" t="n"/>
    </row>
    <row r="299">
      <c r="A299" s="17" t="n"/>
      <c r="F299" s="26" t="n"/>
    </row>
    <row r="300">
      <c r="A300" s="17" t="n"/>
      <c r="F300" s="26" t="n"/>
    </row>
    <row r="301">
      <c r="A301" s="17" t="n"/>
      <c r="F301" s="26" t="n"/>
    </row>
    <row r="302">
      <c r="A302" s="17" t="n"/>
      <c r="F302" s="26" t="n"/>
    </row>
    <row r="303">
      <c r="A303" s="17" t="n"/>
      <c r="F303" s="26" t="n"/>
    </row>
    <row r="304">
      <c r="A304" s="17" t="n"/>
      <c r="F304" s="26" t="n"/>
    </row>
    <row r="305">
      <c r="A305" s="17" t="n"/>
      <c r="F305" s="26" t="n"/>
    </row>
    <row r="306">
      <c r="A306" s="17" t="n"/>
      <c r="F306" s="26" t="n"/>
    </row>
    <row r="307">
      <c r="A307" s="17" t="n"/>
      <c r="F307" s="26" t="n"/>
    </row>
    <row r="308">
      <c r="A308" s="17" t="n"/>
      <c r="F308" s="26" t="n"/>
    </row>
    <row r="309">
      <c r="A309" s="17" t="n"/>
      <c r="F309" s="26" t="n"/>
    </row>
    <row r="310">
      <c r="A310" s="17" t="n"/>
      <c r="F310" s="26" t="n"/>
    </row>
    <row r="311">
      <c r="A311" s="17" t="n"/>
      <c r="F311" s="26" t="n"/>
    </row>
    <row r="312">
      <c r="A312" s="17" t="n"/>
      <c r="F312" s="26" t="n"/>
    </row>
    <row r="313">
      <c r="A313" s="17" t="n"/>
      <c r="F313" s="26" t="n"/>
    </row>
    <row r="314">
      <c r="A314" s="17" t="n"/>
      <c r="F314" s="26" t="n"/>
    </row>
    <row r="315">
      <c r="A315" s="17" t="n"/>
      <c r="F315" s="26" t="n"/>
    </row>
    <row r="316">
      <c r="A316" s="17" t="n"/>
      <c r="F316" s="26" t="n"/>
    </row>
    <row r="317">
      <c r="A317" s="17" t="n"/>
      <c r="F317" s="26" t="n"/>
    </row>
    <row r="318">
      <c r="A318" s="17" t="n"/>
      <c r="F318" s="26" t="n"/>
    </row>
    <row r="319">
      <c r="A319" s="17" t="n"/>
      <c r="F319" s="26" t="n"/>
    </row>
    <row r="320">
      <c r="A320" s="17" t="n"/>
      <c r="F320" s="26" t="n"/>
    </row>
    <row r="321">
      <c r="A321" s="17" t="n"/>
      <c r="F321" s="26" t="n"/>
    </row>
    <row r="322">
      <c r="A322" s="17" t="n"/>
      <c r="F322" s="26" t="n"/>
    </row>
    <row r="323">
      <c r="A323" s="17" t="n"/>
      <c r="F323" s="26" t="n"/>
    </row>
    <row r="324">
      <c r="A324" s="17" t="n"/>
      <c r="F324" s="26" t="n"/>
    </row>
    <row r="325">
      <c r="A325" s="17" t="n"/>
      <c r="F325" s="26" t="n"/>
    </row>
    <row r="326">
      <c r="A326" s="17" t="n"/>
      <c r="F326" s="26" t="n"/>
    </row>
    <row r="327">
      <c r="A327" s="17" t="n"/>
      <c r="F327" s="26" t="n"/>
    </row>
    <row r="328">
      <c r="A328" s="17" t="n"/>
      <c r="F328" s="26" t="n"/>
    </row>
    <row r="329">
      <c r="A329" s="17" t="n"/>
      <c r="F329" s="26" t="n"/>
    </row>
    <row r="330">
      <c r="A330" s="17" t="n"/>
      <c r="F330" s="26" t="n"/>
    </row>
    <row r="331">
      <c r="A331" s="17" t="n"/>
      <c r="F331" s="26" t="n"/>
    </row>
    <row r="332">
      <c r="A332" s="17" t="n"/>
      <c r="F332" s="26" t="n"/>
    </row>
    <row r="333">
      <c r="A333" s="17" t="n"/>
      <c r="F333" s="26" t="n"/>
    </row>
    <row r="334">
      <c r="A334" s="17" t="n"/>
      <c r="F334" s="26" t="n"/>
    </row>
    <row r="335">
      <c r="A335" s="17" t="n"/>
      <c r="F335" s="26" t="n"/>
    </row>
    <row r="336">
      <c r="A336" s="17" t="n"/>
      <c r="F336" s="26" t="n"/>
    </row>
    <row r="337">
      <c r="A337" s="17" t="n"/>
      <c r="F337" s="26" t="n"/>
    </row>
    <row r="338">
      <c r="A338" s="17" t="n"/>
      <c r="F338" s="26" t="n"/>
    </row>
    <row r="339">
      <c r="A339" s="17" t="n"/>
      <c r="F339" s="26" t="n"/>
    </row>
    <row r="340">
      <c r="A340" s="17" t="n"/>
      <c r="F340" s="26" t="n"/>
    </row>
    <row r="341">
      <c r="A341" s="17" t="n"/>
      <c r="F341" s="26" t="n"/>
    </row>
    <row r="342">
      <c r="A342" s="17" t="n"/>
      <c r="F342" s="26" t="n"/>
    </row>
    <row r="343">
      <c r="A343" s="17" t="n"/>
      <c r="F343" s="26" t="n"/>
    </row>
    <row r="344">
      <c r="A344" s="17" t="n"/>
      <c r="F344" s="26" t="n"/>
    </row>
    <row r="345">
      <c r="A345" s="17" t="n"/>
      <c r="F345" s="26" t="n"/>
    </row>
    <row r="346">
      <c r="A346" s="17" t="n"/>
      <c r="F346" s="26" t="n"/>
    </row>
    <row r="347">
      <c r="A347" s="17" t="n"/>
      <c r="F347" s="26" t="n"/>
    </row>
    <row r="348">
      <c r="A348" s="17" t="n"/>
      <c r="F348" s="26" t="n"/>
    </row>
    <row r="349">
      <c r="A349" s="17" t="n"/>
      <c r="F349" s="26" t="n"/>
    </row>
    <row r="350">
      <c r="A350" s="17" t="n"/>
      <c r="F350" s="26" t="n"/>
    </row>
    <row r="351">
      <c r="A351" s="17" t="n"/>
      <c r="F351" s="26" t="n"/>
    </row>
    <row r="352">
      <c r="A352" s="17" t="n"/>
      <c r="F352" s="26" t="n"/>
    </row>
    <row r="353">
      <c r="A353" s="17" t="n"/>
      <c r="F353" s="26" t="n"/>
    </row>
    <row r="354">
      <c r="A354" s="17" t="n"/>
      <c r="F354" s="26" t="n"/>
    </row>
    <row r="355">
      <c r="A355" s="17" t="n"/>
      <c r="F355" s="26" t="n"/>
    </row>
    <row r="356">
      <c r="A356" s="17" t="n"/>
      <c r="F356" s="26" t="n"/>
    </row>
    <row r="357">
      <c r="A357" s="17" t="n"/>
      <c r="F357" s="26" t="n"/>
    </row>
    <row r="358">
      <c r="A358" s="17" t="n"/>
      <c r="F358" s="26" t="n"/>
    </row>
    <row r="359">
      <c r="A359" s="17" t="n"/>
      <c r="F359" s="26" t="n"/>
    </row>
    <row r="360">
      <c r="A360" s="17" t="n"/>
      <c r="F360" s="26" t="n"/>
    </row>
    <row r="361">
      <c r="A361" s="17" t="n"/>
      <c r="F361" s="26" t="n"/>
    </row>
    <row r="362">
      <c r="A362" s="17" t="n"/>
      <c r="F362" s="26" t="n"/>
    </row>
    <row r="363">
      <c r="A363" s="17" t="n"/>
      <c r="F363" s="26" t="n"/>
    </row>
    <row r="364">
      <c r="A364" s="17" t="n"/>
      <c r="F364" s="26" t="n"/>
    </row>
    <row r="365">
      <c r="A365" s="17" t="n"/>
      <c r="F365" s="26" t="n"/>
    </row>
    <row r="366">
      <c r="A366" s="17" t="n"/>
      <c r="F366" s="26" t="n"/>
    </row>
    <row r="367">
      <c r="A367" s="17" t="n"/>
      <c r="F367" s="26" t="n"/>
    </row>
    <row r="368">
      <c r="A368" s="17" t="n"/>
      <c r="F368" s="26" t="n"/>
    </row>
    <row r="369">
      <c r="A369" s="17" t="n"/>
      <c r="F369" s="26" t="n"/>
    </row>
    <row r="370">
      <c r="A370" s="17" t="n"/>
      <c r="F370" s="26" t="n"/>
    </row>
    <row r="371">
      <c r="A371" s="17" t="n"/>
      <c r="F371" s="26" t="n"/>
    </row>
    <row r="372">
      <c r="A372" s="17" t="n"/>
      <c r="F372" s="26" t="n"/>
    </row>
    <row r="373">
      <c r="A373" s="17" t="n"/>
      <c r="F373" s="26" t="n"/>
    </row>
    <row r="374">
      <c r="A374" s="17" t="n"/>
      <c r="F374" s="26" t="n"/>
    </row>
    <row r="375">
      <c r="A375" s="17" t="n"/>
      <c r="F375" s="26" t="n"/>
    </row>
    <row r="376">
      <c r="A376" s="17" t="n"/>
      <c r="F376" s="26" t="n"/>
    </row>
    <row r="377">
      <c r="A377" s="17" t="n"/>
      <c r="F377" s="26" t="n"/>
    </row>
    <row r="378">
      <c r="A378" s="17" t="n"/>
      <c r="F378" s="26" t="n"/>
    </row>
    <row r="379">
      <c r="A379" s="17" t="n"/>
      <c r="F379" s="26" t="n"/>
    </row>
    <row r="380">
      <c r="A380" s="17" t="n"/>
      <c r="F380" s="26" t="n"/>
    </row>
    <row r="381">
      <c r="A381" s="17" t="n"/>
      <c r="F381" s="26" t="n"/>
    </row>
    <row r="382">
      <c r="A382" s="17" t="n"/>
      <c r="F382" s="26" t="n"/>
    </row>
    <row r="383">
      <c r="A383" s="17" t="n"/>
      <c r="F383" s="26" t="n"/>
    </row>
    <row r="384">
      <c r="A384" s="17" t="n"/>
      <c r="F384" s="26" t="n"/>
    </row>
    <row r="385">
      <c r="A385" s="17" t="n"/>
      <c r="F385" s="26" t="n"/>
    </row>
    <row r="386">
      <c r="A386" s="17" t="n"/>
      <c r="F386" s="26" t="n"/>
    </row>
    <row r="387">
      <c r="A387" s="17" t="n"/>
      <c r="F387" s="26" t="n"/>
    </row>
    <row r="388">
      <c r="A388" s="17" t="n"/>
      <c r="F388" s="26" t="n"/>
    </row>
    <row r="389">
      <c r="A389" s="17" t="n"/>
      <c r="F389" s="26" t="n"/>
    </row>
    <row r="390">
      <c r="A390" s="17" t="n"/>
      <c r="F390" s="26" t="n"/>
    </row>
    <row r="391">
      <c r="A391" s="17" t="n"/>
      <c r="F391" s="26" t="n"/>
    </row>
    <row r="392">
      <c r="A392" s="17" t="n"/>
      <c r="F392" s="26" t="n"/>
    </row>
    <row r="393">
      <c r="A393" s="17" t="n"/>
      <c r="F393" s="26" t="n"/>
    </row>
    <row r="394">
      <c r="A394" s="17" t="n"/>
      <c r="F394" s="26" t="n"/>
    </row>
    <row r="395">
      <c r="A395" s="17" t="n"/>
      <c r="F395" s="26" t="n"/>
    </row>
    <row r="396">
      <c r="A396" s="17" t="n"/>
      <c r="F396" s="26" t="n"/>
    </row>
    <row r="397">
      <c r="A397" s="17" t="n"/>
      <c r="F397" s="26" t="n"/>
    </row>
    <row r="398">
      <c r="A398" s="17" t="n"/>
      <c r="F398" s="26" t="n"/>
    </row>
    <row r="399">
      <c r="A399" s="17" t="n"/>
      <c r="F399" s="26" t="n"/>
    </row>
    <row r="400">
      <c r="A400" s="17" t="n"/>
      <c r="F400" s="26" t="n"/>
    </row>
    <row r="401">
      <c r="A401" s="17" t="n"/>
      <c r="F401" s="26" t="n"/>
    </row>
    <row r="402">
      <c r="A402" s="17" t="n"/>
      <c r="F402" s="26" t="n"/>
    </row>
    <row r="403">
      <c r="A403" s="17" t="n"/>
      <c r="F403" s="26" t="n"/>
    </row>
    <row r="404">
      <c r="A404" s="17" t="n"/>
      <c r="F404" s="26" t="n"/>
    </row>
  </sheetData>
  <mergeCells count="2">
    <mergeCell ref="A1:J1"/>
    <mergeCell ref="A2:J2"/>
  </mergeCells>
  <conditionalFormatting sqref="C5:C404">
    <cfRule type="cellIs" priority="1" operator="equal" dxfId="0">
      <formula>"Entrada"</formula>
    </cfRule>
    <cfRule type="cellIs" priority="2" operator="equal" dxfId="1">
      <formula>"Saída"</formula>
    </cfRule>
  </conditionalFormatting>
  <conditionalFormatting sqref="J5:J404">
    <cfRule type="cellIs" priority="3" operator="equal" dxfId="2">
      <formula>"Pendente"</formula>
    </cfRule>
  </conditionalFormatting>
  <dataValidations count="5">
    <dataValidation sqref="B5:B404" showDropDown="0" showInputMessage="0" showErrorMessage="0" allowBlank="1" type="list">
      <formula1>=Listas!$A$5:$A$7</formula1>
    </dataValidation>
    <dataValidation sqref="C5:C404" showDropDown="0" showInputMessage="0" showErrorMessage="0" allowBlank="1" type="list">
      <formula1>=Listas!$B$5:$B$6</formula1>
    </dataValidation>
    <dataValidation sqref="D5:D404" showDropDown="0" showInputMessage="0" showErrorMessage="0" allowBlank="1" type="list">
      <formula1>=Listas!$C$5:$C$29</formula1>
    </dataValidation>
    <dataValidation sqref="G5:G404" showDropDown="0" showInputMessage="0" showErrorMessage="0" allowBlank="1" type="list">
      <formula1>=Listas!$D$5:$D$14</formula1>
    </dataValidation>
    <dataValidation sqref="J5:J404" showDropDown="0" showInputMessage="0" showErrorMessage="0" allowBlank="1" type="list">
      <formula1>"Pago,Pendente,Agendado"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A24"/>
    <outlinePr summaryBelow="1" summaryRight="1"/>
    <pageSetUpPr/>
  </sheetPr>
  <dimension ref="A1:N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  <col width="17" customWidth="1" min="14" max="14"/>
  </cols>
  <sheetData>
    <row r="1" ht="42" customHeight="1">
      <c r="A1" s="1" t="inlineStr">
        <is>
          <t>RESUMO MENSAL  · 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Não digite nada aqui. Tudo vem dos Lançamentos. Se um número parece errado, o erro está lá.</t>
        </is>
      </c>
    </row>
    <row r="4" ht="34" customHeight="1">
      <c r="A4" s="19" t="inlineStr">
        <is>
          <t>Mês</t>
        </is>
      </c>
      <c r="B4" s="19" t="inlineStr">
        <is>
          <t>Pessoal entra</t>
        </is>
      </c>
      <c r="C4" s="19" t="inlineStr">
        <is>
          <t>Pessoal sai</t>
        </is>
      </c>
      <c r="D4" s="19" t="inlineStr">
        <is>
          <t>Pessoal saldo</t>
        </is>
      </c>
      <c r="E4" s="19" t="inlineStr">
        <is>
          <t>Clean Touch entra</t>
        </is>
      </c>
      <c r="F4" s="19" t="inlineStr">
        <is>
          <t>Clean Touch sai</t>
        </is>
      </c>
      <c r="G4" s="19" t="inlineStr">
        <is>
          <t>Clean Touch saldo</t>
        </is>
      </c>
      <c r="H4" s="19" t="inlineStr">
        <is>
          <t>Internet entra</t>
        </is>
      </c>
      <c r="I4" s="19" t="inlineStr">
        <is>
          <t>Internet sai</t>
        </is>
      </c>
      <c r="J4" s="19" t="inlineStr">
        <is>
          <t>Internet saldo</t>
        </is>
      </c>
      <c r="K4" s="19" t="inlineStr">
        <is>
          <t>TOTAL entra</t>
        </is>
      </c>
      <c r="L4" s="19" t="inlineStr">
        <is>
          <t>TOTAL sai</t>
        </is>
      </c>
      <c r="M4" s="19" t="inlineStr">
        <is>
          <t>SALDO DO MÊS</t>
        </is>
      </c>
      <c r="N4" s="19" t="inlineStr">
        <is>
          <t>ACUMULADO</t>
        </is>
      </c>
    </row>
    <row r="5">
      <c r="A5" s="21" t="inlineStr">
        <is>
          <t>2026-01</t>
        </is>
      </c>
      <c r="B5" s="27">
        <f>SUMIFS('Lançamentos'!$F:$F,'Lançamentos'!$A:$A,"&gt;="&amp;DATE(VALUE(LEFT($A5,4)),VALUE(RIGHT($A5,2)),1),'Lançamentos'!$A:$A,"&lt;"&amp;DATE(VALUE(LEFT($A5,4)),VALUE(RIGHT($A5,2))+1,1),'Lançamentos'!$B:$B,"Pessoal",'Lançamentos'!$C:$C,"Entrada")</f>
        <v/>
      </c>
      <c r="C5" s="27">
        <f>SUMIFS('Lançamentos'!$F:$F,'Lançamentos'!$A:$A,"&gt;="&amp;DATE(VALUE(LEFT($A5,4)),VALUE(RIGHT($A5,2)),1),'Lançamentos'!$A:$A,"&lt;"&amp;DATE(VALUE(LEFT($A5,4)),VALUE(RIGHT($A5,2))+1,1),'Lançamentos'!$B:$B,"Pessoal",'Lançamentos'!$C:$C,"Saída")</f>
        <v/>
      </c>
      <c r="D5" s="27">
        <f>B5-C5</f>
        <v/>
      </c>
      <c r="E5" s="27">
        <f>SUMIFS('Lançamentos'!$F:$F,'Lançamentos'!$A:$A,"&gt;="&amp;DATE(VALUE(LEFT($A5,4)),VALUE(RIGHT($A5,2)),1),'Lançamentos'!$A:$A,"&lt;"&amp;DATE(VALUE(LEFT($A5,4)),VALUE(RIGHT($A5,2))+1,1),'Lançamentos'!$B:$B,"Clean Touch",'Lançamentos'!$C:$C,"Entrada")</f>
        <v/>
      </c>
      <c r="F5" s="27">
        <f>SUMIFS('Lançamentos'!$F:$F,'Lançamentos'!$A:$A,"&gt;="&amp;DATE(VALUE(LEFT($A5,4)),VALUE(RIGHT($A5,2)),1),'Lançamentos'!$A:$A,"&lt;"&amp;DATE(VALUE(LEFT($A5,4)),VALUE(RIGHT($A5,2))+1,1),'Lançamentos'!$B:$B,"Clean Touch",'Lançamentos'!$C:$C,"Saída")</f>
        <v/>
      </c>
      <c r="G5" s="27">
        <f>E5-F5</f>
        <v/>
      </c>
      <c r="H5" s="27">
        <f>SUMIFS('Lançamentos'!$F:$F,'Lançamentos'!$A:$A,"&gt;="&amp;DATE(VALUE(LEFT($A5,4)),VALUE(RIGHT($A5,2)),1),'Lançamentos'!$A:$A,"&lt;"&amp;DATE(VALUE(LEFT($A5,4)),VALUE(RIGHT($A5,2))+1,1),'Lançamentos'!$B:$B,"Internet",'Lançamentos'!$C:$C,"Entrada")</f>
        <v/>
      </c>
      <c r="I5" s="27">
        <f>SUMIFS('Lançamentos'!$F:$F,'Lançamentos'!$A:$A,"&gt;="&amp;DATE(VALUE(LEFT($A5,4)),VALUE(RIGHT($A5,2)),1),'Lançamentos'!$A:$A,"&lt;"&amp;DATE(VALUE(LEFT($A5,4)),VALUE(RIGHT($A5,2))+1,1),'Lançamentos'!$B:$B,"Internet",'Lançamentos'!$C:$C,"Saída")</f>
        <v/>
      </c>
      <c r="J5" s="27">
        <f>H5-I5</f>
        <v/>
      </c>
      <c r="K5" s="27">
        <f>B5+E5+H5</f>
        <v/>
      </c>
      <c r="L5" s="27">
        <f>C5+F5+I5</f>
        <v/>
      </c>
      <c r="M5" s="27">
        <f>K5-L5</f>
        <v/>
      </c>
      <c r="N5" s="27">
        <f>M5</f>
        <v/>
      </c>
    </row>
    <row r="6">
      <c r="A6" s="24" t="inlineStr">
        <is>
          <t>2026-02</t>
        </is>
      </c>
      <c r="B6" s="28">
        <f>SUMIFS('Lançamentos'!$F:$F,'Lançamentos'!$A:$A,"&gt;="&amp;DATE(VALUE(LEFT($A6,4)),VALUE(RIGHT($A6,2)),1),'Lançamentos'!$A:$A,"&lt;"&amp;DATE(VALUE(LEFT($A6,4)),VALUE(RIGHT($A6,2))+1,1),'Lançamentos'!$B:$B,"Pessoal",'Lançamentos'!$C:$C,"Entrada")</f>
        <v/>
      </c>
      <c r="C6" s="28">
        <f>SUMIFS('Lançamentos'!$F:$F,'Lançamentos'!$A:$A,"&gt;="&amp;DATE(VALUE(LEFT($A6,4)),VALUE(RIGHT($A6,2)),1),'Lançamentos'!$A:$A,"&lt;"&amp;DATE(VALUE(LEFT($A6,4)),VALUE(RIGHT($A6,2))+1,1),'Lançamentos'!$B:$B,"Pessoal",'Lançamentos'!$C:$C,"Saída")</f>
        <v/>
      </c>
      <c r="D6" s="28">
        <f>B6-C6</f>
        <v/>
      </c>
      <c r="E6" s="28">
        <f>SUMIFS('Lançamentos'!$F:$F,'Lançamentos'!$A:$A,"&gt;="&amp;DATE(VALUE(LEFT($A6,4)),VALUE(RIGHT($A6,2)),1),'Lançamentos'!$A:$A,"&lt;"&amp;DATE(VALUE(LEFT($A6,4)),VALUE(RIGHT($A6,2))+1,1),'Lançamentos'!$B:$B,"Clean Touch",'Lançamentos'!$C:$C,"Entrada")</f>
        <v/>
      </c>
      <c r="F6" s="28">
        <f>SUMIFS('Lançamentos'!$F:$F,'Lançamentos'!$A:$A,"&gt;="&amp;DATE(VALUE(LEFT($A6,4)),VALUE(RIGHT($A6,2)),1),'Lançamentos'!$A:$A,"&lt;"&amp;DATE(VALUE(LEFT($A6,4)),VALUE(RIGHT($A6,2))+1,1),'Lançamentos'!$B:$B,"Clean Touch",'Lançamentos'!$C:$C,"Saída")</f>
        <v/>
      </c>
      <c r="G6" s="28">
        <f>E6-F6</f>
        <v/>
      </c>
      <c r="H6" s="28">
        <f>SUMIFS('Lançamentos'!$F:$F,'Lançamentos'!$A:$A,"&gt;="&amp;DATE(VALUE(LEFT($A6,4)),VALUE(RIGHT($A6,2)),1),'Lançamentos'!$A:$A,"&lt;"&amp;DATE(VALUE(LEFT($A6,4)),VALUE(RIGHT($A6,2))+1,1),'Lançamentos'!$B:$B,"Internet",'Lançamentos'!$C:$C,"Entrada")</f>
        <v/>
      </c>
      <c r="I6" s="28">
        <f>SUMIFS('Lançamentos'!$F:$F,'Lançamentos'!$A:$A,"&gt;="&amp;DATE(VALUE(LEFT($A6,4)),VALUE(RIGHT($A6,2)),1),'Lançamentos'!$A:$A,"&lt;"&amp;DATE(VALUE(LEFT($A6,4)),VALUE(RIGHT($A6,2))+1,1),'Lançamentos'!$B:$B,"Internet",'Lançamentos'!$C:$C,"Saída")</f>
        <v/>
      </c>
      <c r="J6" s="28">
        <f>H6-I6</f>
        <v/>
      </c>
      <c r="K6" s="28">
        <f>B6+E6+H6</f>
        <v/>
      </c>
      <c r="L6" s="28">
        <f>C6+F6+I6</f>
        <v/>
      </c>
      <c r="M6" s="28">
        <f>K6-L6</f>
        <v/>
      </c>
      <c r="N6" s="28">
        <f>N5+M6</f>
        <v/>
      </c>
    </row>
    <row r="7">
      <c r="A7" s="21" t="inlineStr">
        <is>
          <t>2026-03</t>
        </is>
      </c>
      <c r="B7" s="27">
        <f>SUMIFS('Lançamentos'!$F:$F,'Lançamentos'!$A:$A,"&gt;="&amp;DATE(VALUE(LEFT($A7,4)),VALUE(RIGHT($A7,2)),1),'Lançamentos'!$A:$A,"&lt;"&amp;DATE(VALUE(LEFT($A7,4)),VALUE(RIGHT($A7,2))+1,1),'Lançamentos'!$B:$B,"Pessoal",'Lançamentos'!$C:$C,"Entrada")</f>
        <v/>
      </c>
      <c r="C7" s="27">
        <f>SUMIFS('Lançamentos'!$F:$F,'Lançamentos'!$A:$A,"&gt;="&amp;DATE(VALUE(LEFT($A7,4)),VALUE(RIGHT($A7,2)),1),'Lançamentos'!$A:$A,"&lt;"&amp;DATE(VALUE(LEFT($A7,4)),VALUE(RIGHT($A7,2))+1,1),'Lançamentos'!$B:$B,"Pessoal",'Lançamentos'!$C:$C,"Saída")</f>
        <v/>
      </c>
      <c r="D7" s="27">
        <f>B7-C7</f>
        <v/>
      </c>
      <c r="E7" s="27">
        <f>SUMIFS('Lançamentos'!$F:$F,'Lançamentos'!$A:$A,"&gt;="&amp;DATE(VALUE(LEFT($A7,4)),VALUE(RIGHT($A7,2)),1),'Lançamentos'!$A:$A,"&lt;"&amp;DATE(VALUE(LEFT($A7,4)),VALUE(RIGHT($A7,2))+1,1),'Lançamentos'!$B:$B,"Clean Touch",'Lançamentos'!$C:$C,"Entrada")</f>
        <v/>
      </c>
      <c r="F7" s="27">
        <f>SUMIFS('Lançamentos'!$F:$F,'Lançamentos'!$A:$A,"&gt;="&amp;DATE(VALUE(LEFT($A7,4)),VALUE(RIGHT($A7,2)),1),'Lançamentos'!$A:$A,"&lt;"&amp;DATE(VALUE(LEFT($A7,4)),VALUE(RIGHT($A7,2))+1,1),'Lançamentos'!$B:$B,"Clean Touch",'Lançamentos'!$C:$C,"Saída")</f>
        <v/>
      </c>
      <c r="G7" s="27">
        <f>E7-F7</f>
        <v/>
      </c>
      <c r="H7" s="27">
        <f>SUMIFS('Lançamentos'!$F:$F,'Lançamentos'!$A:$A,"&gt;="&amp;DATE(VALUE(LEFT($A7,4)),VALUE(RIGHT($A7,2)),1),'Lançamentos'!$A:$A,"&lt;"&amp;DATE(VALUE(LEFT($A7,4)),VALUE(RIGHT($A7,2))+1,1),'Lançamentos'!$B:$B,"Internet",'Lançamentos'!$C:$C,"Entrada")</f>
        <v/>
      </c>
      <c r="I7" s="27">
        <f>SUMIFS('Lançamentos'!$F:$F,'Lançamentos'!$A:$A,"&gt;="&amp;DATE(VALUE(LEFT($A7,4)),VALUE(RIGHT($A7,2)),1),'Lançamentos'!$A:$A,"&lt;"&amp;DATE(VALUE(LEFT($A7,4)),VALUE(RIGHT($A7,2))+1,1),'Lançamentos'!$B:$B,"Internet",'Lançamentos'!$C:$C,"Saída")</f>
        <v/>
      </c>
      <c r="J7" s="27">
        <f>H7-I7</f>
        <v/>
      </c>
      <c r="K7" s="27">
        <f>B7+E7+H7</f>
        <v/>
      </c>
      <c r="L7" s="27">
        <f>C7+F7+I7</f>
        <v/>
      </c>
      <c r="M7" s="27">
        <f>K7-L7</f>
        <v/>
      </c>
      <c r="N7" s="27">
        <f>N6+M7</f>
        <v/>
      </c>
    </row>
    <row r="8">
      <c r="A8" s="24" t="inlineStr">
        <is>
          <t>2026-04</t>
        </is>
      </c>
      <c r="B8" s="28">
        <f>SUMIFS('Lançamentos'!$F:$F,'Lançamentos'!$A:$A,"&gt;="&amp;DATE(VALUE(LEFT($A8,4)),VALUE(RIGHT($A8,2)),1),'Lançamentos'!$A:$A,"&lt;"&amp;DATE(VALUE(LEFT($A8,4)),VALUE(RIGHT($A8,2))+1,1),'Lançamentos'!$B:$B,"Pessoal",'Lançamentos'!$C:$C,"Entrada")</f>
        <v/>
      </c>
      <c r="C8" s="28">
        <f>SUMIFS('Lançamentos'!$F:$F,'Lançamentos'!$A:$A,"&gt;="&amp;DATE(VALUE(LEFT($A8,4)),VALUE(RIGHT($A8,2)),1),'Lançamentos'!$A:$A,"&lt;"&amp;DATE(VALUE(LEFT($A8,4)),VALUE(RIGHT($A8,2))+1,1),'Lançamentos'!$B:$B,"Pessoal",'Lançamentos'!$C:$C,"Saída")</f>
        <v/>
      </c>
      <c r="D8" s="28">
        <f>B8-C8</f>
        <v/>
      </c>
      <c r="E8" s="28">
        <f>SUMIFS('Lançamentos'!$F:$F,'Lançamentos'!$A:$A,"&gt;="&amp;DATE(VALUE(LEFT($A8,4)),VALUE(RIGHT($A8,2)),1),'Lançamentos'!$A:$A,"&lt;"&amp;DATE(VALUE(LEFT($A8,4)),VALUE(RIGHT($A8,2))+1,1),'Lançamentos'!$B:$B,"Clean Touch",'Lançamentos'!$C:$C,"Entrada")</f>
        <v/>
      </c>
      <c r="F8" s="28">
        <f>SUMIFS('Lançamentos'!$F:$F,'Lançamentos'!$A:$A,"&gt;="&amp;DATE(VALUE(LEFT($A8,4)),VALUE(RIGHT($A8,2)),1),'Lançamentos'!$A:$A,"&lt;"&amp;DATE(VALUE(LEFT($A8,4)),VALUE(RIGHT($A8,2))+1,1),'Lançamentos'!$B:$B,"Clean Touch",'Lançamentos'!$C:$C,"Saída")</f>
        <v/>
      </c>
      <c r="G8" s="28">
        <f>E8-F8</f>
        <v/>
      </c>
      <c r="H8" s="28">
        <f>SUMIFS('Lançamentos'!$F:$F,'Lançamentos'!$A:$A,"&gt;="&amp;DATE(VALUE(LEFT($A8,4)),VALUE(RIGHT($A8,2)),1),'Lançamentos'!$A:$A,"&lt;"&amp;DATE(VALUE(LEFT($A8,4)),VALUE(RIGHT($A8,2))+1,1),'Lançamentos'!$B:$B,"Internet",'Lançamentos'!$C:$C,"Entrada")</f>
        <v/>
      </c>
      <c r="I8" s="28">
        <f>SUMIFS('Lançamentos'!$F:$F,'Lançamentos'!$A:$A,"&gt;="&amp;DATE(VALUE(LEFT($A8,4)),VALUE(RIGHT($A8,2)),1),'Lançamentos'!$A:$A,"&lt;"&amp;DATE(VALUE(LEFT($A8,4)),VALUE(RIGHT($A8,2))+1,1),'Lançamentos'!$B:$B,"Internet",'Lançamentos'!$C:$C,"Saída")</f>
        <v/>
      </c>
      <c r="J8" s="28">
        <f>H8-I8</f>
        <v/>
      </c>
      <c r="K8" s="28">
        <f>B8+E8+H8</f>
        <v/>
      </c>
      <c r="L8" s="28">
        <f>C8+F8+I8</f>
        <v/>
      </c>
      <c r="M8" s="28">
        <f>K8-L8</f>
        <v/>
      </c>
      <c r="N8" s="28">
        <f>N7+M8</f>
        <v/>
      </c>
    </row>
    <row r="9">
      <c r="A9" s="21" t="inlineStr">
        <is>
          <t>2026-05</t>
        </is>
      </c>
      <c r="B9" s="27">
        <f>SUMIFS('Lançamentos'!$F:$F,'Lançamentos'!$A:$A,"&gt;="&amp;DATE(VALUE(LEFT($A9,4)),VALUE(RIGHT($A9,2)),1),'Lançamentos'!$A:$A,"&lt;"&amp;DATE(VALUE(LEFT($A9,4)),VALUE(RIGHT($A9,2))+1,1),'Lançamentos'!$B:$B,"Pessoal",'Lançamentos'!$C:$C,"Entrada")</f>
        <v/>
      </c>
      <c r="C9" s="27">
        <f>SUMIFS('Lançamentos'!$F:$F,'Lançamentos'!$A:$A,"&gt;="&amp;DATE(VALUE(LEFT($A9,4)),VALUE(RIGHT($A9,2)),1),'Lançamentos'!$A:$A,"&lt;"&amp;DATE(VALUE(LEFT($A9,4)),VALUE(RIGHT($A9,2))+1,1),'Lançamentos'!$B:$B,"Pessoal",'Lançamentos'!$C:$C,"Saída")</f>
        <v/>
      </c>
      <c r="D9" s="27">
        <f>B9-C9</f>
        <v/>
      </c>
      <c r="E9" s="27">
        <f>SUMIFS('Lançamentos'!$F:$F,'Lançamentos'!$A:$A,"&gt;="&amp;DATE(VALUE(LEFT($A9,4)),VALUE(RIGHT($A9,2)),1),'Lançamentos'!$A:$A,"&lt;"&amp;DATE(VALUE(LEFT($A9,4)),VALUE(RIGHT($A9,2))+1,1),'Lançamentos'!$B:$B,"Clean Touch",'Lançamentos'!$C:$C,"Entrada")</f>
        <v/>
      </c>
      <c r="F9" s="27">
        <f>SUMIFS('Lançamentos'!$F:$F,'Lançamentos'!$A:$A,"&gt;="&amp;DATE(VALUE(LEFT($A9,4)),VALUE(RIGHT($A9,2)),1),'Lançamentos'!$A:$A,"&lt;"&amp;DATE(VALUE(LEFT($A9,4)),VALUE(RIGHT($A9,2))+1,1),'Lançamentos'!$B:$B,"Clean Touch",'Lançamentos'!$C:$C,"Saída")</f>
        <v/>
      </c>
      <c r="G9" s="27">
        <f>E9-F9</f>
        <v/>
      </c>
      <c r="H9" s="27">
        <f>SUMIFS('Lançamentos'!$F:$F,'Lançamentos'!$A:$A,"&gt;="&amp;DATE(VALUE(LEFT($A9,4)),VALUE(RIGHT($A9,2)),1),'Lançamentos'!$A:$A,"&lt;"&amp;DATE(VALUE(LEFT($A9,4)),VALUE(RIGHT($A9,2))+1,1),'Lançamentos'!$B:$B,"Internet",'Lançamentos'!$C:$C,"Entrada")</f>
        <v/>
      </c>
      <c r="I9" s="27">
        <f>SUMIFS('Lançamentos'!$F:$F,'Lançamentos'!$A:$A,"&gt;="&amp;DATE(VALUE(LEFT($A9,4)),VALUE(RIGHT($A9,2)),1),'Lançamentos'!$A:$A,"&lt;"&amp;DATE(VALUE(LEFT($A9,4)),VALUE(RIGHT($A9,2))+1,1),'Lançamentos'!$B:$B,"Internet",'Lançamentos'!$C:$C,"Saída")</f>
        <v/>
      </c>
      <c r="J9" s="27">
        <f>H9-I9</f>
        <v/>
      </c>
      <c r="K9" s="27">
        <f>B9+E9+H9</f>
        <v/>
      </c>
      <c r="L9" s="27">
        <f>C9+F9+I9</f>
        <v/>
      </c>
      <c r="M9" s="27">
        <f>K9-L9</f>
        <v/>
      </c>
      <c r="N9" s="27">
        <f>N8+M9</f>
        <v/>
      </c>
    </row>
    <row r="10">
      <c r="A10" s="24" t="inlineStr">
        <is>
          <t>2026-06</t>
        </is>
      </c>
      <c r="B10" s="28">
        <f>SUMIFS('Lançamentos'!$F:$F,'Lançamentos'!$A:$A,"&gt;="&amp;DATE(VALUE(LEFT($A10,4)),VALUE(RIGHT($A10,2)),1),'Lançamentos'!$A:$A,"&lt;"&amp;DATE(VALUE(LEFT($A10,4)),VALUE(RIGHT($A10,2))+1,1),'Lançamentos'!$B:$B,"Pessoal",'Lançamentos'!$C:$C,"Entrada")</f>
        <v/>
      </c>
      <c r="C10" s="28">
        <f>SUMIFS('Lançamentos'!$F:$F,'Lançamentos'!$A:$A,"&gt;="&amp;DATE(VALUE(LEFT($A10,4)),VALUE(RIGHT($A10,2)),1),'Lançamentos'!$A:$A,"&lt;"&amp;DATE(VALUE(LEFT($A10,4)),VALUE(RIGHT($A10,2))+1,1),'Lançamentos'!$B:$B,"Pessoal",'Lançamentos'!$C:$C,"Saída")</f>
        <v/>
      </c>
      <c r="D10" s="28">
        <f>B10-C10</f>
        <v/>
      </c>
      <c r="E10" s="28">
        <f>SUMIFS('Lançamentos'!$F:$F,'Lançamentos'!$A:$A,"&gt;="&amp;DATE(VALUE(LEFT($A10,4)),VALUE(RIGHT($A10,2)),1),'Lançamentos'!$A:$A,"&lt;"&amp;DATE(VALUE(LEFT($A10,4)),VALUE(RIGHT($A10,2))+1,1),'Lançamentos'!$B:$B,"Clean Touch",'Lançamentos'!$C:$C,"Entrada")</f>
        <v/>
      </c>
      <c r="F10" s="28">
        <f>SUMIFS('Lançamentos'!$F:$F,'Lançamentos'!$A:$A,"&gt;="&amp;DATE(VALUE(LEFT($A10,4)),VALUE(RIGHT($A10,2)),1),'Lançamentos'!$A:$A,"&lt;"&amp;DATE(VALUE(LEFT($A10,4)),VALUE(RIGHT($A10,2))+1,1),'Lançamentos'!$B:$B,"Clean Touch",'Lançamentos'!$C:$C,"Saída")</f>
        <v/>
      </c>
      <c r="G10" s="28">
        <f>E10-F10</f>
        <v/>
      </c>
      <c r="H10" s="28">
        <f>SUMIFS('Lançamentos'!$F:$F,'Lançamentos'!$A:$A,"&gt;="&amp;DATE(VALUE(LEFT($A10,4)),VALUE(RIGHT($A10,2)),1),'Lançamentos'!$A:$A,"&lt;"&amp;DATE(VALUE(LEFT($A10,4)),VALUE(RIGHT($A10,2))+1,1),'Lançamentos'!$B:$B,"Internet",'Lançamentos'!$C:$C,"Entrada")</f>
        <v/>
      </c>
      <c r="I10" s="28">
        <f>SUMIFS('Lançamentos'!$F:$F,'Lançamentos'!$A:$A,"&gt;="&amp;DATE(VALUE(LEFT($A10,4)),VALUE(RIGHT($A10,2)),1),'Lançamentos'!$A:$A,"&lt;"&amp;DATE(VALUE(LEFT($A10,4)),VALUE(RIGHT($A10,2))+1,1),'Lançamentos'!$B:$B,"Internet",'Lançamentos'!$C:$C,"Saída")</f>
        <v/>
      </c>
      <c r="J10" s="28">
        <f>H10-I10</f>
        <v/>
      </c>
      <c r="K10" s="28">
        <f>B10+E10+H10</f>
        <v/>
      </c>
      <c r="L10" s="28">
        <f>C10+F10+I10</f>
        <v/>
      </c>
      <c r="M10" s="28">
        <f>K10-L10</f>
        <v/>
      </c>
      <c r="N10" s="28">
        <f>N9+M10</f>
        <v/>
      </c>
    </row>
    <row r="11">
      <c r="A11" s="21" t="inlineStr">
        <is>
          <t>2026-07</t>
        </is>
      </c>
      <c r="B11" s="27">
        <f>SUMIFS('Lançamentos'!$F:$F,'Lançamentos'!$A:$A,"&gt;="&amp;DATE(VALUE(LEFT($A11,4)),VALUE(RIGHT($A11,2)),1),'Lançamentos'!$A:$A,"&lt;"&amp;DATE(VALUE(LEFT($A11,4)),VALUE(RIGHT($A11,2))+1,1),'Lançamentos'!$B:$B,"Pessoal",'Lançamentos'!$C:$C,"Entrada")</f>
        <v/>
      </c>
      <c r="C11" s="27">
        <f>SUMIFS('Lançamentos'!$F:$F,'Lançamentos'!$A:$A,"&gt;="&amp;DATE(VALUE(LEFT($A11,4)),VALUE(RIGHT($A11,2)),1),'Lançamentos'!$A:$A,"&lt;"&amp;DATE(VALUE(LEFT($A11,4)),VALUE(RIGHT($A11,2))+1,1),'Lançamentos'!$B:$B,"Pessoal",'Lançamentos'!$C:$C,"Saída")</f>
        <v/>
      </c>
      <c r="D11" s="27">
        <f>B11-C11</f>
        <v/>
      </c>
      <c r="E11" s="27">
        <f>SUMIFS('Lançamentos'!$F:$F,'Lançamentos'!$A:$A,"&gt;="&amp;DATE(VALUE(LEFT($A11,4)),VALUE(RIGHT($A11,2)),1),'Lançamentos'!$A:$A,"&lt;"&amp;DATE(VALUE(LEFT($A11,4)),VALUE(RIGHT($A11,2))+1,1),'Lançamentos'!$B:$B,"Clean Touch",'Lançamentos'!$C:$C,"Entrada")</f>
        <v/>
      </c>
      <c r="F11" s="27">
        <f>SUMIFS('Lançamentos'!$F:$F,'Lançamentos'!$A:$A,"&gt;="&amp;DATE(VALUE(LEFT($A11,4)),VALUE(RIGHT($A11,2)),1),'Lançamentos'!$A:$A,"&lt;"&amp;DATE(VALUE(LEFT($A11,4)),VALUE(RIGHT($A11,2))+1,1),'Lançamentos'!$B:$B,"Clean Touch",'Lançamentos'!$C:$C,"Saída")</f>
        <v/>
      </c>
      <c r="G11" s="27">
        <f>E11-F11</f>
        <v/>
      </c>
      <c r="H11" s="27">
        <f>SUMIFS('Lançamentos'!$F:$F,'Lançamentos'!$A:$A,"&gt;="&amp;DATE(VALUE(LEFT($A11,4)),VALUE(RIGHT($A11,2)),1),'Lançamentos'!$A:$A,"&lt;"&amp;DATE(VALUE(LEFT($A11,4)),VALUE(RIGHT($A11,2))+1,1),'Lançamentos'!$B:$B,"Internet",'Lançamentos'!$C:$C,"Entrada")</f>
        <v/>
      </c>
      <c r="I11" s="27">
        <f>SUMIFS('Lançamentos'!$F:$F,'Lançamentos'!$A:$A,"&gt;="&amp;DATE(VALUE(LEFT($A11,4)),VALUE(RIGHT($A11,2)),1),'Lançamentos'!$A:$A,"&lt;"&amp;DATE(VALUE(LEFT($A11,4)),VALUE(RIGHT($A11,2))+1,1),'Lançamentos'!$B:$B,"Internet",'Lançamentos'!$C:$C,"Saída")</f>
        <v/>
      </c>
      <c r="J11" s="27">
        <f>H11-I11</f>
        <v/>
      </c>
      <c r="K11" s="27">
        <f>B11+E11+H11</f>
        <v/>
      </c>
      <c r="L11" s="27">
        <f>C11+F11+I11</f>
        <v/>
      </c>
      <c r="M11" s="27">
        <f>K11-L11</f>
        <v/>
      </c>
      <c r="N11" s="27">
        <f>N10+M11</f>
        <v/>
      </c>
    </row>
    <row r="12">
      <c r="A12" s="24" t="inlineStr">
        <is>
          <t>2026-08</t>
        </is>
      </c>
      <c r="B12" s="28">
        <f>SUMIFS('Lançamentos'!$F:$F,'Lançamentos'!$A:$A,"&gt;="&amp;DATE(VALUE(LEFT($A12,4)),VALUE(RIGHT($A12,2)),1),'Lançamentos'!$A:$A,"&lt;"&amp;DATE(VALUE(LEFT($A12,4)),VALUE(RIGHT($A12,2))+1,1),'Lançamentos'!$B:$B,"Pessoal",'Lançamentos'!$C:$C,"Entrada")</f>
        <v/>
      </c>
      <c r="C12" s="28">
        <f>SUMIFS('Lançamentos'!$F:$F,'Lançamentos'!$A:$A,"&gt;="&amp;DATE(VALUE(LEFT($A12,4)),VALUE(RIGHT($A12,2)),1),'Lançamentos'!$A:$A,"&lt;"&amp;DATE(VALUE(LEFT($A12,4)),VALUE(RIGHT($A12,2))+1,1),'Lançamentos'!$B:$B,"Pessoal",'Lançamentos'!$C:$C,"Saída")</f>
        <v/>
      </c>
      <c r="D12" s="28">
        <f>B12-C12</f>
        <v/>
      </c>
      <c r="E12" s="28">
        <f>SUMIFS('Lançamentos'!$F:$F,'Lançamentos'!$A:$A,"&gt;="&amp;DATE(VALUE(LEFT($A12,4)),VALUE(RIGHT($A12,2)),1),'Lançamentos'!$A:$A,"&lt;"&amp;DATE(VALUE(LEFT($A12,4)),VALUE(RIGHT($A12,2))+1,1),'Lançamentos'!$B:$B,"Clean Touch",'Lançamentos'!$C:$C,"Entrada")</f>
        <v/>
      </c>
      <c r="F12" s="28">
        <f>SUMIFS('Lançamentos'!$F:$F,'Lançamentos'!$A:$A,"&gt;="&amp;DATE(VALUE(LEFT($A12,4)),VALUE(RIGHT($A12,2)),1),'Lançamentos'!$A:$A,"&lt;"&amp;DATE(VALUE(LEFT($A12,4)),VALUE(RIGHT($A12,2))+1,1),'Lançamentos'!$B:$B,"Clean Touch",'Lançamentos'!$C:$C,"Saída")</f>
        <v/>
      </c>
      <c r="G12" s="28">
        <f>E12-F12</f>
        <v/>
      </c>
      <c r="H12" s="28">
        <f>SUMIFS('Lançamentos'!$F:$F,'Lançamentos'!$A:$A,"&gt;="&amp;DATE(VALUE(LEFT($A12,4)),VALUE(RIGHT($A12,2)),1),'Lançamentos'!$A:$A,"&lt;"&amp;DATE(VALUE(LEFT($A12,4)),VALUE(RIGHT($A12,2))+1,1),'Lançamentos'!$B:$B,"Internet",'Lançamentos'!$C:$C,"Entrada")</f>
        <v/>
      </c>
      <c r="I12" s="28">
        <f>SUMIFS('Lançamentos'!$F:$F,'Lançamentos'!$A:$A,"&gt;="&amp;DATE(VALUE(LEFT($A12,4)),VALUE(RIGHT($A12,2)),1),'Lançamentos'!$A:$A,"&lt;"&amp;DATE(VALUE(LEFT($A12,4)),VALUE(RIGHT($A12,2))+1,1),'Lançamentos'!$B:$B,"Internet",'Lançamentos'!$C:$C,"Saída")</f>
        <v/>
      </c>
      <c r="J12" s="28">
        <f>H12-I12</f>
        <v/>
      </c>
      <c r="K12" s="28">
        <f>B12+E12+H12</f>
        <v/>
      </c>
      <c r="L12" s="28">
        <f>C12+F12+I12</f>
        <v/>
      </c>
      <c r="M12" s="28">
        <f>K12-L12</f>
        <v/>
      </c>
      <c r="N12" s="28">
        <f>N11+M12</f>
        <v/>
      </c>
    </row>
    <row r="13">
      <c r="A13" s="21" t="inlineStr">
        <is>
          <t>2026-09</t>
        </is>
      </c>
      <c r="B13" s="27">
        <f>SUMIFS('Lançamentos'!$F:$F,'Lançamentos'!$A:$A,"&gt;="&amp;DATE(VALUE(LEFT($A13,4)),VALUE(RIGHT($A13,2)),1),'Lançamentos'!$A:$A,"&lt;"&amp;DATE(VALUE(LEFT($A13,4)),VALUE(RIGHT($A13,2))+1,1),'Lançamentos'!$B:$B,"Pessoal",'Lançamentos'!$C:$C,"Entrada")</f>
        <v/>
      </c>
      <c r="C13" s="27">
        <f>SUMIFS('Lançamentos'!$F:$F,'Lançamentos'!$A:$A,"&gt;="&amp;DATE(VALUE(LEFT($A13,4)),VALUE(RIGHT($A13,2)),1),'Lançamentos'!$A:$A,"&lt;"&amp;DATE(VALUE(LEFT($A13,4)),VALUE(RIGHT($A13,2))+1,1),'Lançamentos'!$B:$B,"Pessoal",'Lançamentos'!$C:$C,"Saída")</f>
        <v/>
      </c>
      <c r="D13" s="27">
        <f>B13-C13</f>
        <v/>
      </c>
      <c r="E13" s="27">
        <f>SUMIFS('Lançamentos'!$F:$F,'Lançamentos'!$A:$A,"&gt;="&amp;DATE(VALUE(LEFT($A13,4)),VALUE(RIGHT($A13,2)),1),'Lançamentos'!$A:$A,"&lt;"&amp;DATE(VALUE(LEFT($A13,4)),VALUE(RIGHT($A13,2))+1,1),'Lançamentos'!$B:$B,"Clean Touch",'Lançamentos'!$C:$C,"Entrada")</f>
        <v/>
      </c>
      <c r="F13" s="27">
        <f>SUMIFS('Lançamentos'!$F:$F,'Lançamentos'!$A:$A,"&gt;="&amp;DATE(VALUE(LEFT($A13,4)),VALUE(RIGHT($A13,2)),1),'Lançamentos'!$A:$A,"&lt;"&amp;DATE(VALUE(LEFT($A13,4)),VALUE(RIGHT($A13,2))+1,1),'Lançamentos'!$B:$B,"Clean Touch",'Lançamentos'!$C:$C,"Saída")</f>
        <v/>
      </c>
      <c r="G13" s="27">
        <f>E13-F13</f>
        <v/>
      </c>
      <c r="H13" s="27">
        <f>SUMIFS('Lançamentos'!$F:$F,'Lançamentos'!$A:$A,"&gt;="&amp;DATE(VALUE(LEFT($A13,4)),VALUE(RIGHT($A13,2)),1),'Lançamentos'!$A:$A,"&lt;"&amp;DATE(VALUE(LEFT($A13,4)),VALUE(RIGHT($A13,2))+1,1),'Lançamentos'!$B:$B,"Internet",'Lançamentos'!$C:$C,"Entrada")</f>
        <v/>
      </c>
      <c r="I13" s="27">
        <f>SUMIFS('Lançamentos'!$F:$F,'Lançamentos'!$A:$A,"&gt;="&amp;DATE(VALUE(LEFT($A13,4)),VALUE(RIGHT($A13,2)),1),'Lançamentos'!$A:$A,"&lt;"&amp;DATE(VALUE(LEFT($A13,4)),VALUE(RIGHT($A13,2))+1,1),'Lançamentos'!$B:$B,"Internet",'Lançamentos'!$C:$C,"Saída")</f>
        <v/>
      </c>
      <c r="J13" s="27">
        <f>H13-I13</f>
        <v/>
      </c>
      <c r="K13" s="27">
        <f>B13+E13+H13</f>
        <v/>
      </c>
      <c r="L13" s="27">
        <f>C13+F13+I13</f>
        <v/>
      </c>
      <c r="M13" s="27">
        <f>K13-L13</f>
        <v/>
      </c>
      <c r="N13" s="27">
        <f>N12+M13</f>
        <v/>
      </c>
    </row>
    <row r="14">
      <c r="A14" s="24" t="inlineStr">
        <is>
          <t>2026-10</t>
        </is>
      </c>
      <c r="B14" s="28">
        <f>SUMIFS('Lançamentos'!$F:$F,'Lançamentos'!$A:$A,"&gt;="&amp;DATE(VALUE(LEFT($A14,4)),VALUE(RIGHT($A14,2)),1),'Lançamentos'!$A:$A,"&lt;"&amp;DATE(VALUE(LEFT($A14,4)),VALUE(RIGHT($A14,2))+1,1),'Lançamentos'!$B:$B,"Pessoal",'Lançamentos'!$C:$C,"Entrada")</f>
        <v/>
      </c>
      <c r="C14" s="28">
        <f>SUMIFS('Lançamentos'!$F:$F,'Lançamentos'!$A:$A,"&gt;="&amp;DATE(VALUE(LEFT($A14,4)),VALUE(RIGHT($A14,2)),1),'Lançamentos'!$A:$A,"&lt;"&amp;DATE(VALUE(LEFT($A14,4)),VALUE(RIGHT($A14,2))+1,1),'Lançamentos'!$B:$B,"Pessoal",'Lançamentos'!$C:$C,"Saída")</f>
        <v/>
      </c>
      <c r="D14" s="28">
        <f>B14-C14</f>
        <v/>
      </c>
      <c r="E14" s="28">
        <f>SUMIFS('Lançamentos'!$F:$F,'Lançamentos'!$A:$A,"&gt;="&amp;DATE(VALUE(LEFT($A14,4)),VALUE(RIGHT($A14,2)),1),'Lançamentos'!$A:$A,"&lt;"&amp;DATE(VALUE(LEFT($A14,4)),VALUE(RIGHT($A14,2))+1,1),'Lançamentos'!$B:$B,"Clean Touch",'Lançamentos'!$C:$C,"Entrada")</f>
        <v/>
      </c>
      <c r="F14" s="28">
        <f>SUMIFS('Lançamentos'!$F:$F,'Lançamentos'!$A:$A,"&gt;="&amp;DATE(VALUE(LEFT($A14,4)),VALUE(RIGHT($A14,2)),1),'Lançamentos'!$A:$A,"&lt;"&amp;DATE(VALUE(LEFT($A14,4)),VALUE(RIGHT($A14,2))+1,1),'Lançamentos'!$B:$B,"Clean Touch",'Lançamentos'!$C:$C,"Saída")</f>
        <v/>
      </c>
      <c r="G14" s="28">
        <f>E14-F14</f>
        <v/>
      </c>
      <c r="H14" s="28">
        <f>SUMIFS('Lançamentos'!$F:$F,'Lançamentos'!$A:$A,"&gt;="&amp;DATE(VALUE(LEFT($A14,4)),VALUE(RIGHT($A14,2)),1),'Lançamentos'!$A:$A,"&lt;"&amp;DATE(VALUE(LEFT($A14,4)),VALUE(RIGHT($A14,2))+1,1),'Lançamentos'!$B:$B,"Internet",'Lançamentos'!$C:$C,"Entrada")</f>
        <v/>
      </c>
      <c r="I14" s="28">
        <f>SUMIFS('Lançamentos'!$F:$F,'Lançamentos'!$A:$A,"&gt;="&amp;DATE(VALUE(LEFT($A14,4)),VALUE(RIGHT($A14,2)),1),'Lançamentos'!$A:$A,"&lt;"&amp;DATE(VALUE(LEFT($A14,4)),VALUE(RIGHT($A14,2))+1,1),'Lançamentos'!$B:$B,"Internet",'Lançamentos'!$C:$C,"Saída")</f>
        <v/>
      </c>
      <c r="J14" s="28">
        <f>H14-I14</f>
        <v/>
      </c>
      <c r="K14" s="28">
        <f>B14+E14+H14</f>
        <v/>
      </c>
      <c r="L14" s="28">
        <f>C14+F14+I14</f>
        <v/>
      </c>
      <c r="M14" s="28">
        <f>K14-L14</f>
        <v/>
      </c>
      <c r="N14" s="28">
        <f>N13+M14</f>
        <v/>
      </c>
    </row>
    <row r="15">
      <c r="A15" s="21" t="inlineStr">
        <is>
          <t>2026-11</t>
        </is>
      </c>
      <c r="B15" s="27">
        <f>SUMIFS('Lançamentos'!$F:$F,'Lançamentos'!$A:$A,"&gt;="&amp;DATE(VALUE(LEFT($A15,4)),VALUE(RIGHT($A15,2)),1),'Lançamentos'!$A:$A,"&lt;"&amp;DATE(VALUE(LEFT($A15,4)),VALUE(RIGHT($A15,2))+1,1),'Lançamentos'!$B:$B,"Pessoal",'Lançamentos'!$C:$C,"Entrada")</f>
        <v/>
      </c>
      <c r="C15" s="27">
        <f>SUMIFS('Lançamentos'!$F:$F,'Lançamentos'!$A:$A,"&gt;="&amp;DATE(VALUE(LEFT($A15,4)),VALUE(RIGHT($A15,2)),1),'Lançamentos'!$A:$A,"&lt;"&amp;DATE(VALUE(LEFT($A15,4)),VALUE(RIGHT($A15,2))+1,1),'Lançamentos'!$B:$B,"Pessoal",'Lançamentos'!$C:$C,"Saída")</f>
        <v/>
      </c>
      <c r="D15" s="27">
        <f>B15-C15</f>
        <v/>
      </c>
      <c r="E15" s="27">
        <f>SUMIFS('Lançamentos'!$F:$F,'Lançamentos'!$A:$A,"&gt;="&amp;DATE(VALUE(LEFT($A15,4)),VALUE(RIGHT($A15,2)),1),'Lançamentos'!$A:$A,"&lt;"&amp;DATE(VALUE(LEFT($A15,4)),VALUE(RIGHT($A15,2))+1,1),'Lançamentos'!$B:$B,"Clean Touch",'Lançamentos'!$C:$C,"Entrada")</f>
        <v/>
      </c>
      <c r="F15" s="27">
        <f>SUMIFS('Lançamentos'!$F:$F,'Lançamentos'!$A:$A,"&gt;="&amp;DATE(VALUE(LEFT($A15,4)),VALUE(RIGHT($A15,2)),1),'Lançamentos'!$A:$A,"&lt;"&amp;DATE(VALUE(LEFT($A15,4)),VALUE(RIGHT($A15,2))+1,1),'Lançamentos'!$B:$B,"Clean Touch",'Lançamentos'!$C:$C,"Saída")</f>
        <v/>
      </c>
      <c r="G15" s="27">
        <f>E15-F15</f>
        <v/>
      </c>
      <c r="H15" s="27">
        <f>SUMIFS('Lançamentos'!$F:$F,'Lançamentos'!$A:$A,"&gt;="&amp;DATE(VALUE(LEFT($A15,4)),VALUE(RIGHT($A15,2)),1),'Lançamentos'!$A:$A,"&lt;"&amp;DATE(VALUE(LEFT($A15,4)),VALUE(RIGHT($A15,2))+1,1),'Lançamentos'!$B:$B,"Internet",'Lançamentos'!$C:$C,"Entrada")</f>
        <v/>
      </c>
      <c r="I15" s="27">
        <f>SUMIFS('Lançamentos'!$F:$F,'Lançamentos'!$A:$A,"&gt;="&amp;DATE(VALUE(LEFT($A15,4)),VALUE(RIGHT($A15,2)),1),'Lançamentos'!$A:$A,"&lt;"&amp;DATE(VALUE(LEFT($A15,4)),VALUE(RIGHT($A15,2))+1,1),'Lançamentos'!$B:$B,"Internet",'Lançamentos'!$C:$C,"Saída")</f>
        <v/>
      </c>
      <c r="J15" s="27">
        <f>H15-I15</f>
        <v/>
      </c>
      <c r="K15" s="27">
        <f>B15+E15+H15</f>
        <v/>
      </c>
      <c r="L15" s="27">
        <f>C15+F15+I15</f>
        <v/>
      </c>
      <c r="M15" s="27">
        <f>K15-L15</f>
        <v/>
      </c>
      <c r="N15" s="27">
        <f>N14+M15</f>
        <v/>
      </c>
    </row>
    <row r="16">
      <c r="A16" s="24" t="inlineStr">
        <is>
          <t>2026-12</t>
        </is>
      </c>
      <c r="B16" s="28">
        <f>SUMIFS('Lançamentos'!$F:$F,'Lançamentos'!$A:$A,"&gt;="&amp;DATE(VALUE(LEFT($A16,4)),VALUE(RIGHT($A16,2)),1),'Lançamentos'!$A:$A,"&lt;"&amp;DATE(VALUE(LEFT($A16,4)),VALUE(RIGHT($A16,2))+1,1),'Lançamentos'!$B:$B,"Pessoal",'Lançamentos'!$C:$C,"Entrada")</f>
        <v/>
      </c>
      <c r="C16" s="28">
        <f>SUMIFS('Lançamentos'!$F:$F,'Lançamentos'!$A:$A,"&gt;="&amp;DATE(VALUE(LEFT($A16,4)),VALUE(RIGHT($A16,2)),1),'Lançamentos'!$A:$A,"&lt;"&amp;DATE(VALUE(LEFT($A16,4)),VALUE(RIGHT($A16,2))+1,1),'Lançamentos'!$B:$B,"Pessoal",'Lançamentos'!$C:$C,"Saída")</f>
        <v/>
      </c>
      <c r="D16" s="28">
        <f>B16-C16</f>
        <v/>
      </c>
      <c r="E16" s="28">
        <f>SUMIFS('Lançamentos'!$F:$F,'Lançamentos'!$A:$A,"&gt;="&amp;DATE(VALUE(LEFT($A16,4)),VALUE(RIGHT($A16,2)),1),'Lançamentos'!$A:$A,"&lt;"&amp;DATE(VALUE(LEFT($A16,4)),VALUE(RIGHT($A16,2))+1,1),'Lançamentos'!$B:$B,"Clean Touch",'Lançamentos'!$C:$C,"Entrada")</f>
        <v/>
      </c>
      <c r="F16" s="28">
        <f>SUMIFS('Lançamentos'!$F:$F,'Lançamentos'!$A:$A,"&gt;="&amp;DATE(VALUE(LEFT($A16,4)),VALUE(RIGHT($A16,2)),1),'Lançamentos'!$A:$A,"&lt;"&amp;DATE(VALUE(LEFT($A16,4)),VALUE(RIGHT($A16,2))+1,1),'Lançamentos'!$B:$B,"Clean Touch",'Lançamentos'!$C:$C,"Saída")</f>
        <v/>
      </c>
      <c r="G16" s="28">
        <f>E16-F16</f>
        <v/>
      </c>
      <c r="H16" s="28">
        <f>SUMIFS('Lançamentos'!$F:$F,'Lançamentos'!$A:$A,"&gt;="&amp;DATE(VALUE(LEFT($A16,4)),VALUE(RIGHT($A16,2)),1),'Lançamentos'!$A:$A,"&lt;"&amp;DATE(VALUE(LEFT($A16,4)),VALUE(RIGHT($A16,2))+1,1),'Lançamentos'!$B:$B,"Internet",'Lançamentos'!$C:$C,"Entrada")</f>
        <v/>
      </c>
      <c r="I16" s="28">
        <f>SUMIFS('Lançamentos'!$F:$F,'Lançamentos'!$A:$A,"&gt;="&amp;DATE(VALUE(LEFT($A16,4)),VALUE(RIGHT($A16,2)),1),'Lançamentos'!$A:$A,"&lt;"&amp;DATE(VALUE(LEFT($A16,4)),VALUE(RIGHT($A16,2))+1,1),'Lançamentos'!$B:$B,"Internet",'Lançamentos'!$C:$C,"Saída")</f>
        <v/>
      </c>
      <c r="J16" s="28">
        <f>H16-I16</f>
        <v/>
      </c>
      <c r="K16" s="28">
        <f>B16+E16+H16</f>
        <v/>
      </c>
      <c r="L16" s="28">
        <f>C16+F16+I16</f>
        <v/>
      </c>
      <c r="M16" s="28">
        <f>K16-L16</f>
        <v/>
      </c>
      <c r="N16" s="28">
        <f>N15+M16</f>
        <v/>
      </c>
    </row>
    <row r="17">
      <c r="A17" s="29" t="inlineStr">
        <is>
          <t>TOTAL 2026</t>
        </is>
      </c>
      <c r="B17" s="30">
        <f>SUM(B5:B16)</f>
        <v/>
      </c>
      <c r="C17" s="30">
        <f>SUM(C5:C16)</f>
        <v/>
      </c>
      <c r="D17" s="30">
        <f>SUM(D5:D16)</f>
        <v/>
      </c>
      <c r="E17" s="30">
        <f>SUM(E5:E16)</f>
        <v/>
      </c>
      <c r="F17" s="30">
        <f>SUM(F5:F16)</f>
        <v/>
      </c>
      <c r="G17" s="30">
        <f>SUM(G5:G16)</f>
        <v/>
      </c>
      <c r="H17" s="30">
        <f>SUM(H5:H16)</f>
        <v/>
      </c>
      <c r="I17" s="30">
        <f>SUM(I5:I16)</f>
        <v/>
      </c>
      <c r="J17" s="30">
        <f>SUM(J5:J16)</f>
        <v/>
      </c>
      <c r="K17" s="30">
        <f>SUM(K5:K16)</f>
        <v/>
      </c>
      <c r="L17" s="30">
        <f>SUM(L5:L16)</f>
        <v/>
      </c>
      <c r="M17" s="30">
        <f>SUM(M5:M16)</f>
        <v/>
      </c>
      <c r="N17" s="30">
        <f>N16</f>
        <v/>
      </c>
    </row>
  </sheetData>
  <mergeCells count="2">
    <mergeCell ref="A2:N2"/>
    <mergeCell ref="A1:N1"/>
  </mergeCells>
  <conditionalFormatting sqref="D5:D1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G5:G17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J5:J17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M5:M17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N5:N17">
    <cfRule type="cellIs" priority="9" operator="lessThan" dxfId="1">
      <formula>0</formula>
    </cfRule>
    <cfRule type="cellIs" priority="10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A24"/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4" customWidth="1" min="4" max="4"/>
    <col width="11" customWidth="1" min="5" max="5"/>
    <col width="11" customWidth="1" min="6" max="6"/>
    <col width="15" customWidth="1" min="7" max="7"/>
    <col width="13" customWidth="1" min="8" max="8"/>
    <col width="13" customWidth="1" min="9" max="9"/>
    <col width="10" customWidth="1" min="10" max="10"/>
    <col width="32" customWidth="1" min="11" max="11"/>
  </cols>
  <sheetData>
    <row r="1" ht="42" customHeight="1">
      <c r="A1" s="1" t="inlineStr">
        <is>
          <t>CARTÕES E DÍVIDAS  ·  quanto você deve e até quando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Preencha as colunas claras. Fatura do mês, saldo devedor e data de quitação se calculam sozinhos.</t>
        </is>
      </c>
    </row>
    <row r="4" ht="28" customHeight="1">
      <c r="A4" s="13" t="inlineStr">
        <is>
          <t>CARTÕES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 ht="34" customHeight="1">
      <c r="A5" s="19" t="inlineStr">
        <is>
          <t>Cartão</t>
        </is>
      </c>
      <c r="B5" s="19" t="inlineStr">
        <is>
          <t>Bandeira</t>
        </is>
      </c>
      <c r="C5" s="19" t="inlineStr">
        <is>
          <t>Frente</t>
        </is>
      </c>
      <c r="D5" s="19" t="inlineStr">
        <is>
          <t>Limite</t>
        </is>
      </c>
      <c r="E5" s="19" t="inlineStr">
        <is>
          <t>Fecha dia</t>
        </is>
      </c>
      <c r="F5" s="19" t="inlineStr">
        <is>
          <t>Vence dia</t>
        </is>
      </c>
      <c r="G5" s="19" t="inlineStr">
        <is>
          <t>Fatura do mês</t>
        </is>
      </c>
      <c r="H5" s="19" t="inlineStr">
        <is>
          <t>Limite usado</t>
        </is>
      </c>
      <c r="I5" s="19" t="inlineStr">
        <is>
          <t>Anuidade</t>
        </is>
      </c>
      <c r="J5" s="19" t="inlineStr">
        <is>
          <t>Ativo?</t>
        </is>
      </c>
      <c r="K5" s="19" t="inlineStr">
        <is>
          <t>Observação</t>
        </is>
      </c>
    </row>
    <row r="6">
      <c r="A6" s="21" t="n"/>
      <c r="B6" s="21" t="n"/>
      <c r="C6" s="21" t="n"/>
      <c r="D6" s="31" t="n"/>
      <c r="E6" s="21" t="n"/>
      <c r="F6" s="21" t="n"/>
      <c r="G6" s="31">
        <f>IF($A6="","",SUMIFS('Lançamentos'!$F:$F,'Lançamentos'!$H:$H,$A6,'Lançamentos'!$A:$A,"&gt;="&amp;DATE(YEAR(TODAY()),MONTH(TODAY()),1),'Lançamentos'!$A:$A,"&lt;"&amp;DATE(YEAR(TODAY()),MONTH(TODAY())+1,1),'Lançamentos'!$C:$C,"Saída"))</f>
        <v/>
      </c>
      <c r="H6" s="32">
        <f>IF(N($D6)=0,"",$G6/$D6)</f>
        <v/>
      </c>
      <c r="I6" s="31" t="n"/>
      <c r="J6" s="21" t="n"/>
      <c r="K6" s="21" t="n"/>
    </row>
    <row r="7">
      <c r="A7" s="24" t="n"/>
      <c r="B7" s="24" t="n"/>
      <c r="C7" s="24" t="n"/>
      <c r="D7" s="33" t="n"/>
      <c r="E7" s="24" t="n"/>
      <c r="F7" s="24" t="n"/>
      <c r="G7" s="33">
        <f>IF($A7="","",SUMIFS('Lançamentos'!$F:$F,'Lançamentos'!$H:$H,$A7,'Lançamentos'!$A:$A,"&gt;="&amp;DATE(YEAR(TODAY()),MONTH(TODAY()),1),'Lançamentos'!$A:$A,"&lt;"&amp;DATE(YEAR(TODAY()),MONTH(TODAY())+1,1),'Lançamentos'!$C:$C,"Saída"))</f>
        <v/>
      </c>
      <c r="H7" s="34">
        <f>IF(N($D7)=0,"",$G7/$D7)</f>
        <v/>
      </c>
      <c r="I7" s="33" t="n"/>
      <c r="J7" s="24" t="n"/>
      <c r="K7" s="24" t="n"/>
    </row>
    <row r="8">
      <c r="A8" s="21" t="n"/>
      <c r="B8" s="21" t="n"/>
      <c r="C8" s="21" t="n"/>
      <c r="D8" s="31" t="n"/>
      <c r="E8" s="21" t="n"/>
      <c r="F8" s="21" t="n"/>
      <c r="G8" s="31">
        <f>IF($A8="","",SUMIFS('Lançamentos'!$F:$F,'Lançamentos'!$H:$H,$A8,'Lançamentos'!$A:$A,"&gt;="&amp;DATE(YEAR(TODAY()),MONTH(TODAY()),1),'Lançamentos'!$A:$A,"&lt;"&amp;DATE(YEAR(TODAY()),MONTH(TODAY())+1,1),'Lançamentos'!$C:$C,"Saída"))</f>
        <v/>
      </c>
      <c r="H8" s="32">
        <f>IF(N($D8)=0,"",$G8/$D8)</f>
        <v/>
      </c>
      <c r="I8" s="31" t="n"/>
      <c r="J8" s="21" t="n"/>
      <c r="K8" s="21" t="n"/>
    </row>
    <row r="9">
      <c r="A9" s="24" t="n"/>
      <c r="B9" s="24" t="n"/>
      <c r="C9" s="24" t="n"/>
      <c r="D9" s="33" t="n"/>
      <c r="E9" s="24" t="n"/>
      <c r="F9" s="24" t="n"/>
      <c r="G9" s="33">
        <f>IF($A9="","",SUMIFS('Lançamentos'!$F:$F,'Lançamentos'!$H:$H,$A9,'Lançamentos'!$A:$A,"&gt;="&amp;DATE(YEAR(TODAY()),MONTH(TODAY()),1),'Lançamentos'!$A:$A,"&lt;"&amp;DATE(YEAR(TODAY()),MONTH(TODAY())+1,1),'Lançamentos'!$C:$C,"Saída"))</f>
        <v/>
      </c>
      <c r="H9" s="34">
        <f>IF(N($D9)=0,"",$G9/$D9)</f>
        <v/>
      </c>
      <c r="I9" s="33" t="n"/>
      <c r="J9" s="24" t="n"/>
      <c r="K9" s="24" t="n"/>
    </row>
    <row r="10">
      <c r="A10" s="21" t="n"/>
      <c r="B10" s="21" t="n"/>
      <c r="C10" s="21" t="n"/>
      <c r="D10" s="31" t="n"/>
      <c r="E10" s="21" t="n"/>
      <c r="F10" s="21" t="n"/>
      <c r="G10" s="31">
        <f>IF($A10="","",SUMIFS('Lançamentos'!$F:$F,'Lançamentos'!$H:$H,$A10,'Lançamentos'!$A:$A,"&gt;="&amp;DATE(YEAR(TODAY()),MONTH(TODAY()),1),'Lançamentos'!$A:$A,"&lt;"&amp;DATE(YEAR(TODAY()),MONTH(TODAY())+1,1),'Lançamentos'!$C:$C,"Saída"))</f>
        <v/>
      </c>
      <c r="H10" s="32">
        <f>IF(N($D10)=0,"",$G10/$D10)</f>
        <v/>
      </c>
      <c r="I10" s="31" t="n"/>
      <c r="J10" s="21" t="n"/>
      <c r="K10" s="21" t="n"/>
    </row>
    <row r="11">
      <c r="A11" s="24" t="n"/>
      <c r="B11" s="24" t="n"/>
      <c r="C11" s="24" t="n"/>
      <c r="D11" s="33" t="n"/>
      <c r="E11" s="24" t="n"/>
      <c r="F11" s="24" t="n"/>
      <c r="G11" s="33">
        <f>IF($A11="","",SUMIFS('Lançamentos'!$F:$F,'Lançamentos'!$H:$H,$A11,'Lançamentos'!$A:$A,"&gt;="&amp;DATE(YEAR(TODAY()),MONTH(TODAY()),1),'Lançamentos'!$A:$A,"&lt;"&amp;DATE(YEAR(TODAY()),MONTH(TODAY())+1,1),'Lançamentos'!$C:$C,"Saída"))</f>
        <v/>
      </c>
      <c r="H11" s="34">
        <f>IF(N($D11)=0,"",$G11/$D11)</f>
        <v/>
      </c>
      <c r="I11" s="33" t="n"/>
      <c r="J11" s="24" t="n"/>
      <c r="K11" s="24" t="n"/>
    </row>
    <row r="12">
      <c r="A12" s="21" t="n"/>
      <c r="B12" s="21" t="n"/>
      <c r="C12" s="21" t="n"/>
      <c r="D12" s="31" t="n"/>
      <c r="E12" s="21" t="n"/>
      <c r="F12" s="21" t="n"/>
      <c r="G12" s="31">
        <f>IF($A12="","",SUMIFS('Lançamentos'!$F:$F,'Lançamentos'!$H:$H,$A12,'Lançamentos'!$A:$A,"&gt;="&amp;DATE(YEAR(TODAY()),MONTH(TODAY()),1),'Lançamentos'!$A:$A,"&lt;"&amp;DATE(YEAR(TODAY()),MONTH(TODAY())+1,1),'Lançamentos'!$C:$C,"Saída"))</f>
        <v/>
      </c>
      <c r="H12" s="32">
        <f>IF(N($D12)=0,"",$G12/$D12)</f>
        <v/>
      </c>
      <c r="I12" s="31" t="n"/>
      <c r="J12" s="21" t="n"/>
      <c r="K12" s="21" t="n"/>
    </row>
    <row r="13">
      <c r="A13" s="24" t="n"/>
      <c r="B13" s="24" t="n"/>
      <c r="C13" s="24" t="n"/>
      <c r="D13" s="33" t="n"/>
      <c r="E13" s="24" t="n"/>
      <c r="F13" s="24" t="n"/>
      <c r="G13" s="33">
        <f>IF($A13="","",SUMIFS('Lançamentos'!$F:$F,'Lançamentos'!$H:$H,$A13,'Lançamentos'!$A:$A,"&gt;="&amp;DATE(YEAR(TODAY()),MONTH(TODAY()),1),'Lançamentos'!$A:$A,"&lt;"&amp;DATE(YEAR(TODAY()),MONTH(TODAY())+1,1),'Lançamentos'!$C:$C,"Saída"))</f>
        <v/>
      </c>
      <c r="H13" s="34">
        <f>IF(N($D13)=0,"",$G13/$D13)</f>
        <v/>
      </c>
      <c r="I13" s="33" t="n"/>
      <c r="J13" s="24" t="n"/>
      <c r="K13" s="24" t="n"/>
    </row>
    <row r="15" ht="28" customHeight="1">
      <c r="A15" s="13" t="inlineStr">
        <is>
          <t>DÍVIDAS, PARCELAMENTOS E FINANCIAMENTOS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34" customHeight="1">
      <c r="A16" s="19" t="inlineStr">
        <is>
          <t>Descrição</t>
        </is>
      </c>
      <c r="B16" s="19" t="inlineStr">
        <is>
          <t>Credor</t>
        </is>
      </c>
      <c r="C16" s="19" t="inlineStr">
        <is>
          <t>Frente</t>
        </is>
      </c>
      <c r="D16" s="19" t="inlineStr">
        <is>
          <t>Valor total</t>
        </is>
      </c>
      <c r="E16" s="19" t="inlineStr">
        <is>
          <t>Parcela mensal</t>
        </is>
      </c>
      <c r="F16" s="19" t="inlineStr">
        <is>
          <t>Parcelas pagas</t>
        </is>
      </c>
      <c r="G16" s="19" t="inlineStr">
        <is>
          <t>Total de parcelas</t>
        </is>
      </c>
      <c r="H16" s="19" t="inlineStr">
        <is>
          <t>Saldo devedor</t>
        </is>
      </c>
      <c r="I16" s="19" t="inlineStr">
        <is>
          <t>1ª parcela</t>
        </is>
      </c>
      <c r="J16" s="19" t="inlineStr">
        <is>
          <t>Quitação prevista</t>
        </is>
      </c>
      <c r="K16" s="19" t="inlineStr">
        <is>
          <t>Status</t>
        </is>
      </c>
    </row>
    <row r="17">
      <c r="A17" s="21" t="n"/>
      <c r="B17" s="21" t="n"/>
      <c r="C17" s="21" t="n"/>
      <c r="D17" s="31" t="n"/>
      <c r="E17" s="31" t="n"/>
      <c r="F17" s="21" t="n"/>
      <c r="G17" s="21" t="n"/>
      <c r="H17" s="31">
        <f>IF($E17="","",MAX(0,($G17-$F17)*$E17))</f>
        <v/>
      </c>
      <c r="I17" s="20" t="n"/>
      <c r="J17" s="20">
        <f>IF(OR($I17="",$G17=""),"",EDATE($I17,$G17-1))</f>
        <v/>
      </c>
      <c r="K17" s="21" t="n"/>
    </row>
    <row r="18">
      <c r="A18" s="24" t="n"/>
      <c r="B18" s="24" t="n"/>
      <c r="C18" s="24" t="n"/>
      <c r="D18" s="33" t="n"/>
      <c r="E18" s="33" t="n"/>
      <c r="F18" s="24" t="n"/>
      <c r="G18" s="24" t="n"/>
      <c r="H18" s="33">
        <f>IF($E18="","",MAX(0,($G18-$F18)*$E18))</f>
        <v/>
      </c>
      <c r="I18" s="23" t="n"/>
      <c r="J18" s="23">
        <f>IF(OR($I18="",$G18=""),"",EDATE($I18,$G18-1))</f>
        <v/>
      </c>
      <c r="K18" s="24" t="n"/>
    </row>
    <row r="19">
      <c r="A19" s="21" t="n"/>
      <c r="B19" s="21" t="n"/>
      <c r="C19" s="21" t="n"/>
      <c r="D19" s="31" t="n"/>
      <c r="E19" s="31" t="n"/>
      <c r="F19" s="21" t="n"/>
      <c r="G19" s="21" t="n"/>
      <c r="H19" s="31">
        <f>IF($E19="","",MAX(0,($G19-$F19)*$E19))</f>
        <v/>
      </c>
      <c r="I19" s="20" t="n"/>
      <c r="J19" s="20">
        <f>IF(OR($I19="",$G19=""),"",EDATE($I19,$G19-1))</f>
        <v/>
      </c>
      <c r="K19" s="21" t="n"/>
    </row>
    <row r="20">
      <c r="A20" s="24" t="n"/>
      <c r="B20" s="24" t="n"/>
      <c r="C20" s="24" t="n"/>
      <c r="D20" s="33" t="n"/>
      <c r="E20" s="33" t="n"/>
      <c r="F20" s="24" t="n"/>
      <c r="G20" s="24" t="n"/>
      <c r="H20" s="33">
        <f>IF($E20="","",MAX(0,($G20-$F20)*$E20))</f>
        <v/>
      </c>
      <c r="I20" s="23" t="n"/>
      <c r="J20" s="23">
        <f>IF(OR($I20="",$G20=""),"",EDATE($I20,$G20-1))</f>
        <v/>
      </c>
      <c r="K20" s="24" t="n"/>
    </row>
    <row r="21">
      <c r="A21" s="21" t="n"/>
      <c r="B21" s="21" t="n"/>
      <c r="C21" s="21" t="n"/>
      <c r="D21" s="31" t="n"/>
      <c r="E21" s="31" t="n"/>
      <c r="F21" s="21" t="n"/>
      <c r="G21" s="21" t="n"/>
      <c r="H21" s="31">
        <f>IF($E21="","",MAX(0,($G21-$F21)*$E21))</f>
        <v/>
      </c>
      <c r="I21" s="20" t="n"/>
      <c r="J21" s="20">
        <f>IF(OR($I21="",$G21=""),"",EDATE($I21,$G21-1))</f>
        <v/>
      </c>
      <c r="K21" s="21" t="n"/>
    </row>
    <row r="22">
      <c r="A22" s="24" t="n"/>
      <c r="B22" s="24" t="n"/>
      <c r="C22" s="24" t="n"/>
      <c r="D22" s="33" t="n"/>
      <c r="E22" s="33" t="n"/>
      <c r="F22" s="24" t="n"/>
      <c r="G22" s="24" t="n"/>
      <c r="H22" s="33">
        <f>IF($E22="","",MAX(0,($G22-$F22)*$E22))</f>
        <v/>
      </c>
      <c r="I22" s="23" t="n"/>
      <c r="J22" s="23">
        <f>IF(OR($I22="",$G22=""),"",EDATE($I22,$G22-1))</f>
        <v/>
      </c>
      <c r="K22" s="24" t="n"/>
    </row>
    <row r="23">
      <c r="A23" s="21" t="n"/>
      <c r="B23" s="21" t="n"/>
      <c r="C23" s="21" t="n"/>
      <c r="D23" s="31" t="n"/>
      <c r="E23" s="31" t="n"/>
      <c r="F23" s="21" t="n"/>
      <c r="G23" s="21" t="n"/>
      <c r="H23" s="31">
        <f>IF($E23="","",MAX(0,($G23-$F23)*$E23))</f>
        <v/>
      </c>
      <c r="I23" s="20" t="n"/>
      <c r="J23" s="20">
        <f>IF(OR($I23="",$G23=""),"",EDATE($I23,$G23-1))</f>
        <v/>
      </c>
      <c r="K23" s="21" t="n"/>
    </row>
    <row r="24">
      <c r="A24" s="24" t="n"/>
      <c r="B24" s="24" t="n"/>
      <c r="C24" s="24" t="n"/>
      <c r="D24" s="33" t="n"/>
      <c r="E24" s="33" t="n"/>
      <c r="F24" s="24" t="n"/>
      <c r="G24" s="24" t="n"/>
      <c r="H24" s="33">
        <f>IF($E24="","",MAX(0,($G24-$F24)*$E24))</f>
        <v/>
      </c>
      <c r="I24" s="23" t="n"/>
      <c r="J24" s="23">
        <f>IF(OR($I24="",$G24=""),"",EDATE($I24,$G24-1))</f>
        <v/>
      </c>
      <c r="K24" s="24" t="n"/>
    </row>
    <row r="25">
      <c r="A25" s="21" t="n"/>
      <c r="B25" s="21" t="n"/>
      <c r="C25" s="21" t="n"/>
      <c r="D25" s="31" t="n"/>
      <c r="E25" s="31" t="n"/>
      <c r="F25" s="21" t="n"/>
      <c r="G25" s="21" t="n"/>
      <c r="H25" s="31">
        <f>IF($E25="","",MAX(0,($G25-$F25)*$E25))</f>
        <v/>
      </c>
      <c r="I25" s="20" t="n"/>
      <c r="J25" s="20">
        <f>IF(OR($I25="",$G25=""),"",EDATE($I25,$G25-1))</f>
        <v/>
      </c>
      <c r="K25" s="21" t="n"/>
    </row>
    <row r="26">
      <c r="A26" s="24" t="n"/>
      <c r="B26" s="24" t="n"/>
      <c r="C26" s="24" t="n"/>
      <c r="D26" s="33" t="n"/>
      <c r="E26" s="33" t="n"/>
      <c r="F26" s="24" t="n"/>
      <c r="G26" s="24" t="n"/>
      <c r="H26" s="33">
        <f>IF($E26="","",MAX(0,($G26-$F26)*$E26))</f>
        <v/>
      </c>
      <c r="I26" s="23" t="n"/>
      <c r="J26" s="23">
        <f>IF(OR($I26="",$G26=""),"",EDATE($I26,$G26-1))</f>
        <v/>
      </c>
      <c r="K26" s="24" t="n"/>
    </row>
    <row r="27">
      <c r="A27" s="21" t="n"/>
      <c r="B27" s="21" t="n"/>
      <c r="C27" s="21" t="n"/>
      <c r="D27" s="31" t="n"/>
      <c r="E27" s="31" t="n"/>
      <c r="F27" s="21" t="n"/>
      <c r="G27" s="21" t="n"/>
      <c r="H27" s="31">
        <f>IF($E27="","",MAX(0,($G27-$F27)*$E27))</f>
        <v/>
      </c>
      <c r="I27" s="20" t="n"/>
      <c r="J27" s="20">
        <f>IF(OR($I27="",$G27=""),"",EDATE($I27,$G27-1))</f>
        <v/>
      </c>
      <c r="K27" s="21" t="n"/>
    </row>
    <row r="28">
      <c r="A28" s="24" t="n"/>
      <c r="B28" s="24" t="n"/>
      <c r="C28" s="24" t="n"/>
      <c r="D28" s="33" t="n"/>
      <c r="E28" s="33" t="n"/>
      <c r="F28" s="24" t="n"/>
      <c r="G28" s="24" t="n"/>
      <c r="H28" s="33">
        <f>IF($E28="","",MAX(0,($G28-$F28)*$E28))</f>
        <v/>
      </c>
      <c r="I28" s="23" t="n"/>
      <c r="J28" s="23">
        <f>IF(OR($I28="",$G28=""),"",EDATE($I28,$G28-1))</f>
        <v/>
      </c>
      <c r="K28" s="24" t="n"/>
    </row>
    <row r="29">
      <c r="A29" s="21" t="n"/>
      <c r="B29" s="21" t="n"/>
      <c r="C29" s="21" t="n"/>
      <c r="D29" s="31" t="n"/>
      <c r="E29" s="31" t="n"/>
      <c r="F29" s="21" t="n"/>
      <c r="G29" s="21" t="n"/>
      <c r="H29" s="31">
        <f>IF($E29="","",MAX(0,($G29-$F29)*$E29))</f>
        <v/>
      </c>
      <c r="I29" s="20" t="n"/>
      <c r="J29" s="20">
        <f>IF(OR($I29="",$G29=""),"",EDATE($I29,$G29-1))</f>
        <v/>
      </c>
      <c r="K29" s="21" t="n"/>
    </row>
    <row r="30">
      <c r="A30" s="24" t="n"/>
      <c r="B30" s="24" t="n"/>
      <c r="C30" s="24" t="n"/>
      <c r="D30" s="33" t="n"/>
      <c r="E30" s="33" t="n"/>
      <c r="F30" s="24" t="n"/>
      <c r="G30" s="24" t="n"/>
      <c r="H30" s="33">
        <f>IF($E30="","",MAX(0,($G30-$F30)*$E30))</f>
        <v/>
      </c>
      <c r="I30" s="23" t="n"/>
      <c r="J30" s="23">
        <f>IF(OR($I30="",$G30=""),"",EDATE($I30,$G30-1))</f>
        <v/>
      </c>
      <c r="K30" s="24" t="n"/>
    </row>
    <row r="31">
      <c r="A31" s="21" t="n"/>
      <c r="B31" s="21" t="n"/>
      <c r="C31" s="21" t="n"/>
      <c r="D31" s="31" t="n"/>
      <c r="E31" s="31" t="n"/>
      <c r="F31" s="21" t="n"/>
      <c r="G31" s="21" t="n"/>
      <c r="H31" s="31">
        <f>IF($E31="","",MAX(0,($G31-$F31)*$E31))</f>
        <v/>
      </c>
      <c r="I31" s="20" t="n"/>
      <c r="J31" s="20">
        <f>IF(OR($I31="",$G31=""),"",EDATE($I31,$G31-1))</f>
        <v/>
      </c>
      <c r="K31" s="21" t="n"/>
    </row>
    <row r="33">
      <c r="A33" s="35" t="inlineStr">
        <is>
          <t>TOTAL QUE VOCÊ DEVE HOJE</t>
        </is>
      </c>
      <c r="H33" s="36">
        <f>SUM(H17:H31)</f>
        <v/>
      </c>
    </row>
    <row r="34">
      <c r="A34" s="35" t="inlineStr">
        <is>
          <t>COMPROMETIDO POR MÊS (parcelas ativas)</t>
        </is>
      </c>
      <c r="H34" s="36">
        <f>SUMIFS(E17:E31,K17:K31,"Ativo")</f>
        <v/>
      </c>
    </row>
  </sheetData>
  <mergeCells count="4">
    <mergeCell ref="A2:K2"/>
    <mergeCell ref="A15:K15"/>
    <mergeCell ref="A1:K1"/>
    <mergeCell ref="A4:K4"/>
  </mergeCells>
  <conditionalFormatting sqref="H6:H13">
    <cfRule type="cellIs" priority="1" operator="greaterThan" dxfId="3">
      <formula>0.7</formula>
    </cfRule>
  </conditionalFormatting>
  <dataValidations count="4">
    <dataValidation sqref="C6:C13" showDropDown="0" showInputMessage="0" showErrorMessage="0" allowBlank="1" type="list">
      <formula1>=Listas!$A$5:$A$7</formula1>
    </dataValidation>
    <dataValidation sqref="J6:J13" showDropDown="0" showInputMessage="0" showErrorMessage="0" allowBlank="1" type="list">
      <formula1>"Sim,Não"</formula1>
    </dataValidation>
    <dataValidation sqref="C17:C31" showDropDown="0" showInputMessage="0" showErrorMessage="0" allowBlank="1" type="list">
      <formula1>=Listas!$A$5:$A$7</formula1>
    </dataValidation>
    <dataValidation sqref="K17:K31" showDropDown="0" showInputMessage="0" showErrorMessage="0" allowBlank="1" type="list">
      <formula1>=Listas!$G$5:$G$9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A24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5" customWidth="1" min="4" max="4"/>
    <col width="16" customWidth="1" min="5" max="5"/>
    <col width="11" customWidth="1" min="6" max="6"/>
    <col width="16" customWidth="1" min="7" max="7"/>
    <col width="36" customWidth="1" min="8" max="8"/>
  </cols>
  <sheetData>
    <row r="1" ht="42" customHeight="1">
      <c r="A1" s="1" t="inlineStr">
        <is>
          <t>PATRIMÔNIO  ·  o que é seu de verdade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Ativos menos dívidas. Atualize os valores uma vez por mês e registre a linha do Snapshot.</t>
        </is>
      </c>
    </row>
    <row r="4" ht="28" customHeight="1">
      <c r="A4" s="13" t="inlineStr">
        <is>
          <t>O QUE VOCÊ TEM</t>
        </is>
      </c>
      <c r="B4" s="14" t="n"/>
      <c r="C4" s="14" t="n"/>
      <c r="D4" s="14" t="n"/>
      <c r="E4" s="14" t="n"/>
      <c r="F4" s="14" t="n"/>
      <c r="G4" s="14" t="n"/>
      <c r="H4" s="14" t="n"/>
    </row>
    <row r="5" ht="34" customHeight="1">
      <c r="A5" s="19" t="inlineStr">
        <is>
          <t>Item</t>
        </is>
      </c>
      <c r="B5" s="19" t="inlineStr">
        <is>
          <t>Tipo</t>
        </is>
      </c>
      <c r="C5" s="19" t="inlineStr">
        <is>
          <t>Instituição</t>
        </is>
      </c>
      <c r="D5" s="19" t="inlineStr">
        <is>
          <t>Frente</t>
        </is>
      </c>
      <c r="E5" s="19" t="inlineStr">
        <is>
          <t>Valor atual</t>
        </is>
      </c>
      <c r="F5" s="19" t="inlineStr">
        <is>
          <t>Rende?</t>
        </is>
      </c>
      <c r="G5" s="19" t="inlineStr">
        <is>
          <t>Rendimento a.a.</t>
        </is>
      </c>
      <c r="H5" s="19" t="inlineStr">
        <is>
          <t>Observação</t>
        </is>
      </c>
    </row>
    <row r="6">
      <c r="A6" s="21" t="n"/>
      <c r="B6" s="21" t="n"/>
      <c r="C6" s="21" t="n"/>
      <c r="D6" s="21" t="n"/>
      <c r="E6" s="31" t="n"/>
      <c r="F6" s="21" t="n"/>
      <c r="G6" s="32" t="n"/>
      <c r="H6" s="21" t="n"/>
    </row>
    <row r="7">
      <c r="A7" s="24" t="n"/>
      <c r="B7" s="24" t="n"/>
      <c r="C7" s="24" t="n"/>
      <c r="D7" s="24" t="n"/>
      <c r="E7" s="33" t="n"/>
      <c r="F7" s="24" t="n"/>
      <c r="G7" s="34" t="n"/>
      <c r="H7" s="24" t="n"/>
    </row>
    <row r="8">
      <c r="A8" s="21" t="n"/>
      <c r="B8" s="21" t="n"/>
      <c r="C8" s="21" t="n"/>
      <c r="D8" s="21" t="n"/>
      <c r="E8" s="31" t="n"/>
      <c r="F8" s="21" t="n"/>
      <c r="G8" s="32" t="n"/>
      <c r="H8" s="21" t="n"/>
    </row>
    <row r="9">
      <c r="A9" s="24" t="n"/>
      <c r="B9" s="24" t="n"/>
      <c r="C9" s="24" t="n"/>
      <c r="D9" s="24" t="n"/>
      <c r="E9" s="33" t="n"/>
      <c r="F9" s="24" t="n"/>
      <c r="G9" s="34" t="n"/>
      <c r="H9" s="24" t="n"/>
    </row>
    <row r="10">
      <c r="A10" s="21" t="n"/>
      <c r="B10" s="21" t="n"/>
      <c r="C10" s="21" t="n"/>
      <c r="D10" s="21" t="n"/>
      <c r="E10" s="31" t="n"/>
      <c r="F10" s="21" t="n"/>
      <c r="G10" s="32" t="n"/>
      <c r="H10" s="21" t="n"/>
    </row>
    <row r="11">
      <c r="A11" s="24" t="n"/>
      <c r="B11" s="24" t="n"/>
      <c r="C11" s="24" t="n"/>
      <c r="D11" s="24" t="n"/>
      <c r="E11" s="33" t="n"/>
      <c r="F11" s="24" t="n"/>
      <c r="G11" s="34" t="n"/>
      <c r="H11" s="24" t="n"/>
    </row>
    <row r="12">
      <c r="A12" s="21" t="n"/>
      <c r="B12" s="21" t="n"/>
      <c r="C12" s="21" t="n"/>
      <c r="D12" s="21" t="n"/>
      <c r="E12" s="31" t="n"/>
      <c r="F12" s="21" t="n"/>
      <c r="G12" s="32" t="n"/>
      <c r="H12" s="21" t="n"/>
    </row>
    <row r="13">
      <c r="A13" s="24" t="n"/>
      <c r="B13" s="24" t="n"/>
      <c r="C13" s="24" t="n"/>
      <c r="D13" s="24" t="n"/>
      <c r="E13" s="33" t="n"/>
      <c r="F13" s="24" t="n"/>
      <c r="G13" s="34" t="n"/>
      <c r="H13" s="24" t="n"/>
    </row>
    <row r="14">
      <c r="A14" s="21" t="n"/>
      <c r="B14" s="21" t="n"/>
      <c r="C14" s="21" t="n"/>
      <c r="D14" s="21" t="n"/>
      <c r="E14" s="31" t="n"/>
      <c r="F14" s="21" t="n"/>
      <c r="G14" s="32" t="n"/>
      <c r="H14" s="21" t="n"/>
    </row>
    <row r="15">
      <c r="A15" s="24" t="n"/>
      <c r="B15" s="24" t="n"/>
      <c r="C15" s="24" t="n"/>
      <c r="D15" s="24" t="n"/>
      <c r="E15" s="33" t="n"/>
      <c r="F15" s="24" t="n"/>
      <c r="G15" s="34" t="n"/>
      <c r="H15" s="24" t="n"/>
    </row>
    <row r="16">
      <c r="A16" s="21" t="n"/>
      <c r="B16" s="21" t="n"/>
      <c r="C16" s="21" t="n"/>
      <c r="D16" s="21" t="n"/>
      <c r="E16" s="31" t="n"/>
      <c r="F16" s="21" t="n"/>
      <c r="G16" s="32" t="n"/>
      <c r="H16" s="21" t="n"/>
    </row>
    <row r="17">
      <c r="A17" s="24" t="n"/>
      <c r="B17" s="24" t="n"/>
      <c r="C17" s="24" t="n"/>
      <c r="D17" s="24" t="n"/>
      <c r="E17" s="33" t="n"/>
      <c r="F17" s="24" t="n"/>
      <c r="G17" s="34" t="n"/>
      <c r="H17" s="24" t="n"/>
    </row>
    <row r="18">
      <c r="A18" s="21" t="n"/>
      <c r="B18" s="21" t="n"/>
      <c r="C18" s="21" t="n"/>
      <c r="D18" s="21" t="n"/>
      <c r="E18" s="31" t="n"/>
      <c r="F18" s="21" t="n"/>
      <c r="G18" s="32" t="n"/>
      <c r="H18" s="21" t="n"/>
    </row>
    <row r="19">
      <c r="A19" s="24" t="n"/>
      <c r="B19" s="24" t="n"/>
      <c r="C19" s="24" t="n"/>
      <c r="D19" s="24" t="n"/>
      <c r="E19" s="33" t="n"/>
      <c r="F19" s="24" t="n"/>
      <c r="G19" s="34" t="n"/>
      <c r="H19" s="24" t="n"/>
    </row>
    <row r="20">
      <c r="A20" s="21" t="n"/>
      <c r="B20" s="21" t="n"/>
      <c r="C20" s="21" t="n"/>
      <c r="D20" s="21" t="n"/>
      <c r="E20" s="31" t="n"/>
      <c r="F20" s="21" t="n"/>
      <c r="G20" s="32" t="n"/>
      <c r="H20" s="21" t="n"/>
    </row>
    <row r="21">
      <c r="A21" s="24" t="n"/>
      <c r="B21" s="24" t="n"/>
      <c r="C21" s="24" t="n"/>
      <c r="D21" s="24" t="n"/>
      <c r="E21" s="33" t="n"/>
      <c r="F21" s="24" t="n"/>
      <c r="G21" s="34" t="n"/>
      <c r="H21" s="24" t="n"/>
    </row>
    <row r="22">
      <c r="A22" s="21" t="n"/>
      <c r="B22" s="21" t="n"/>
      <c r="C22" s="21" t="n"/>
      <c r="D22" s="21" t="n"/>
      <c r="E22" s="31" t="n"/>
      <c r="F22" s="21" t="n"/>
      <c r="G22" s="32" t="n"/>
      <c r="H22" s="21" t="n"/>
    </row>
    <row r="23">
      <c r="A23" s="24" t="n"/>
      <c r="B23" s="24" t="n"/>
      <c r="C23" s="24" t="n"/>
      <c r="D23" s="24" t="n"/>
      <c r="E23" s="33" t="n"/>
      <c r="F23" s="24" t="n"/>
      <c r="G23" s="34" t="n"/>
      <c r="H23" s="24" t="n"/>
    </row>
    <row r="24">
      <c r="A24" s="21" t="n"/>
      <c r="B24" s="21" t="n"/>
      <c r="C24" s="21" t="n"/>
      <c r="D24" s="21" t="n"/>
      <c r="E24" s="31" t="n"/>
      <c r="F24" s="21" t="n"/>
      <c r="G24" s="32" t="n"/>
      <c r="H24" s="21" t="n"/>
    </row>
    <row r="25">
      <c r="A25" s="24" t="n"/>
      <c r="B25" s="24" t="n"/>
      <c r="C25" s="24" t="n"/>
      <c r="D25" s="24" t="n"/>
      <c r="E25" s="33" t="n"/>
      <c r="F25" s="24" t="n"/>
      <c r="G25" s="34" t="n"/>
      <c r="H25" s="24" t="n"/>
    </row>
    <row r="27">
      <c r="A27" s="35" t="inlineStr">
        <is>
          <t>TOTAL DE ATIVOS</t>
        </is>
      </c>
      <c r="E27" s="37">
        <f>SUM(E6:E25)</f>
        <v/>
      </c>
    </row>
    <row r="28">
      <c r="A28" s="35" t="inlineStr">
        <is>
          <t>TOTAL DE DÍVIDAS</t>
        </is>
      </c>
      <c r="E28" s="38">
        <f>'Cartões e Dívidas'!H33</f>
        <v/>
      </c>
    </row>
    <row r="29">
      <c r="A29" s="39" t="inlineStr">
        <is>
          <t>PATRIMÔNIO LÍQUIDO</t>
        </is>
      </c>
      <c r="E29" s="40">
        <f>E27-E28</f>
        <v/>
      </c>
    </row>
    <row r="31" ht="28" customHeight="1">
      <c r="A31" s="13" t="inlineStr">
        <is>
          <t>SNAPSHOT MENSAL  ·  registre no dia 1 de cada mês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 ht="34" customHeight="1">
      <c r="A32" s="19" t="inlineStr">
        <is>
          <t>Mês</t>
        </is>
      </c>
      <c r="B32" s="19" t="inlineStr">
        <is>
          <t>Ativos</t>
        </is>
      </c>
      <c r="C32" s="19" t="inlineStr">
        <is>
          <t>Dívidas</t>
        </is>
      </c>
      <c r="D32" s="19" t="inlineStr">
        <is>
          <t>Patrimônio líquido</t>
        </is>
      </c>
      <c r="E32" s="19" t="inlineStr">
        <is>
          <t>Variação</t>
        </is>
      </c>
      <c r="F32" s="19" t="inlineStr">
        <is>
          <t>Variação %</t>
        </is>
      </c>
      <c r="G32" s="19" t="inlineStr"/>
      <c r="H32" s="19" t="inlineStr">
        <is>
          <t>O que mudou</t>
        </is>
      </c>
    </row>
    <row r="33">
      <c r="A33" s="21" t="n"/>
      <c r="B33" s="27" t="n"/>
      <c r="C33" s="27" t="n"/>
      <c r="D33" s="27">
        <f>IF($B33="","",$B33-$C33)</f>
        <v/>
      </c>
      <c r="E33" s="27" t="n"/>
      <c r="F33" s="32" t="n"/>
      <c r="G33" s="21" t="n"/>
      <c r="H33" s="21" t="n"/>
    </row>
    <row r="34">
      <c r="A34" s="24" t="n"/>
      <c r="B34" s="28" t="n"/>
      <c r="C34" s="28" t="n"/>
      <c r="D34" s="28">
        <f>IF($B34="","",$B34-$C34)</f>
        <v/>
      </c>
      <c r="E34" s="28">
        <f>IF(OR($D34="",$D33=""),"",$D34-$D33)</f>
        <v/>
      </c>
      <c r="F34" s="34">
        <f>IF(N($D33)=0,"",$E34/ABS($D33))</f>
        <v/>
      </c>
      <c r="G34" s="24" t="n"/>
      <c r="H34" s="24" t="n"/>
    </row>
    <row r="35">
      <c r="A35" s="21" t="n"/>
      <c r="B35" s="27" t="n"/>
      <c r="C35" s="27" t="n"/>
      <c r="D35" s="27">
        <f>IF($B35="","",$B35-$C35)</f>
        <v/>
      </c>
      <c r="E35" s="27">
        <f>IF(OR($D35="",$D34=""),"",$D35-$D34)</f>
        <v/>
      </c>
      <c r="F35" s="32">
        <f>IF(N($D34)=0,"",$E35/ABS($D34))</f>
        <v/>
      </c>
      <c r="G35" s="21" t="n"/>
      <c r="H35" s="21" t="n"/>
    </row>
    <row r="36">
      <c r="A36" s="24" t="n"/>
      <c r="B36" s="28" t="n"/>
      <c r="C36" s="28" t="n"/>
      <c r="D36" s="28">
        <f>IF($B36="","",$B36-$C36)</f>
        <v/>
      </c>
      <c r="E36" s="28">
        <f>IF(OR($D36="",$D35=""),"",$D36-$D35)</f>
        <v/>
      </c>
      <c r="F36" s="34">
        <f>IF(N($D35)=0,"",$E36/ABS($D35))</f>
        <v/>
      </c>
      <c r="G36" s="24" t="n"/>
      <c r="H36" s="24" t="n"/>
    </row>
    <row r="37">
      <c r="A37" s="21" t="n"/>
      <c r="B37" s="27" t="n"/>
      <c r="C37" s="27" t="n"/>
      <c r="D37" s="27">
        <f>IF($B37="","",$B37-$C37)</f>
        <v/>
      </c>
      <c r="E37" s="27">
        <f>IF(OR($D37="",$D36=""),"",$D37-$D36)</f>
        <v/>
      </c>
      <c r="F37" s="32">
        <f>IF(N($D36)=0,"",$E37/ABS($D36))</f>
        <v/>
      </c>
      <c r="G37" s="21" t="n"/>
      <c r="H37" s="21" t="n"/>
    </row>
    <row r="38">
      <c r="A38" s="24" t="n"/>
      <c r="B38" s="28" t="n"/>
      <c r="C38" s="28" t="n"/>
      <c r="D38" s="28">
        <f>IF($B38="","",$B38-$C38)</f>
        <v/>
      </c>
      <c r="E38" s="28">
        <f>IF(OR($D38="",$D37=""),"",$D38-$D37)</f>
        <v/>
      </c>
      <c r="F38" s="34">
        <f>IF(N($D37)=0,"",$E38/ABS($D37))</f>
        <v/>
      </c>
      <c r="G38" s="24" t="n"/>
      <c r="H38" s="24" t="n"/>
    </row>
    <row r="39">
      <c r="A39" s="21" t="n"/>
      <c r="B39" s="27" t="n"/>
      <c r="C39" s="27" t="n"/>
      <c r="D39" s="27">
        <f>IF($B39="","",$B39-$C39)</f>
        <v/>
      </c>
      <c r="E39" s="27">
        <f>IF(OR($D39="",$D38=""),"",$D39-$D38)</f>
        <v/>
      </c>
      <c r="F39" s="32">
        <f>IF(N($D38)=0,"",$E39/ABS($D38))</f>
        <v/>
      </c>
      <c r="G39" s="21" t="n"/>
      <c r="H39" s="21" t="n"/>
    </row>
    <row r="40">
      <c r="A40" s="24" t="n"/>
      <c r="B40" s="28" t="n"/>
      <c r="C40" s="28" t="n"/>
      <c r="D40" s="28">
        <f>IF($B40="","",$B40-$C40)</f>
        <v/>
      </c>
      <c r="E40" s="28">
        <f>IF(OR($D40="",$D39=""),"",$D40-$D39)</f>
        <v/>
      </c>
      <c r="F40" s="34">
        <f>IF(N($D39)=0,"",$E40/ABS($D39))</f>
        <v/>
      </c>
      <c r="G40" s="24" t="n"/>
      <c r="H40" s="24" t="n"/>
    </row>
    <row r="41">
      <c r="A41" s="21" t="n"/>
      <c r="B41" s="27" t="n"/>
      <c r="C41" s="27" t="n"/>
      <c r="D41" s="27">
        <f>IF($B41="","",$B41-$C41)</f>
        <v/>
      </c>
      <c r="E41" s="27">
        <f>IF(OR($D41="",$D40=""),"",$D41-$D40)</f>
        <v/>
      </c>
      <c r="F41" s="32">
        <f>IF(N($D40)=0,"",$E41/ABS($D40))</f>
        <v/>
      </c>
      <c r="G41" s="21" t="n"/>
      <c r="H41" s="21" t="n"/>
    </row>
    <row r="42">
      <c r="A42" s="24" t="n"/>
      <c r="B42" s="28" t="n"/>
      <c r="C42" s="28" t="n"/>
      <c r="D42" s="28">
        <f>IF($B42="","",$B42-$C42)</f>
        <v/>
      </c>
      <c r="E42" s="28">
        <f>IF(OR($D42="",$D41=""),"",$D42-$D41)</f>
        <v/>
      </c>
      <c r="F42" s="34">
        <f>IF(N($D41)=0,"",$E42/ABS($D41))</f>
        <v/>
      </c>
      <c r="G42" s="24" t="n"/>
      <c r="H42" s="24" t="n"/>
    </row>
    <row r="43">
      <c r="A43" s="21" t="n"/>
      <c r="B43" s="27" t="n"/>
      <c r="C43" s="27" t="n"/>
      <c r="D43" s="27">
        <f>IF($B43="","",$B43-$C43)</f>
        <v/>
      </c>
      <c r="E43" s="27">
        <f>IF(OR($D43="",$D42=""),"",$D43-$D42)</f>
        <v/>
      </c>
      <c r="F43" s="32">
        <f>IF(N($D42)=0,"",$E43/ABS($D42))</f>
        <v/>
      </c>
      <c r="G43" s="21" t="n"/>
      <c r="H43" s="21" t="n"/>
    </row>
    <row r="44">
      <c r="A44" s="24" t="n"/>
      <c r="B44" s="28" t="n"/>
      <c r="C44" s="28" t="n"/>
      <c r="D44" s="28">
        <f>IF($B44="","",$B44-$C44)</f>
        <v/>
      </c>
      <c r="E44" s="28">
        <f>IF(OR($D44="",$D43=""),"",$D44-$D43)</f>
        <v/>
      </c>
      <c r="F44" s="34">
        <f>IF(N($D43)=0,"",$E44/ABS($D43))</f>
        <v/>
      </c>
      <c r="G44" s="24" t="n"/>
      <c r="H44" s="24" t="n"/>
    </row>
    <row r="45">
      <c r="A45" s="21" t="n"/>
      <c r="B45" s="27" t="n"/>
      <c r="C45" s="27" t="n"/>
      <c r="D45" s="27">
        <f>IF($B45="","",$B45-$C45)</f>
        <v/>
      </c>
      <c r="E45" s="27">
        <f>IF(OR($D45="",$D44=""),"",$D45-$D44)</f>
        <v/>
      </c>
      <c r="F45" s="32">
        <f>IF(N($D44)=0,"",$E45/ABS($D44))</f>
        <v/>
      </c>
      <c r="G45" s="21" t="n"/>
      <c r="H45" s="21" t="n"/>
    </row>
    <row r="46">
      <c r="A46" s="24" t="n"/>
      <c r="B46" s="28" t="n"/>
      <c r="C46" s="28" t="n"/>
      <c r="D46" s="28">
        <f>IF($B46="","",$B46-$C46)</f>
        <v/>
      </c>
      <c r="E46" s="28">
        <f>IF(OR($D46="",$D45=""),"",$D46-$D45)</f>
        <v/>
      </c>
      <c r="F46" s="34">
        <f>IF(N($D45)=0,"",$E46/ABS($D45))</f>
        <v/>
      </c>
      <c r="G46" s="24" t="n"/>
      <c r="H46" s="24" t="n"/>
    </row>
    <row r="47">
      <c r="A47" s="21" t="n"/>
      <c r="B47" s="27" t="n"/>
      <c r="C47" s="27" t="n"/>
      <c r="D47" s="27">
        <f>IF($B47="","",$B47-$C47)</f>
        <v/>
      </c>
      <c r="E47" s="27">
        <f>IF(OR($D47="",$D46=""),"",$D47-$D46)</f>
        <v/>
      </c>
      <c r="F47" s="32">
        <f>IF(N($D46)=0,"",$E47/ABS($D46))</f>
        <v/>
      </c>
      <c r="G47" s="21" t="n"/>
      <c r="H47" s="21" t="n"/>
    </row>
    <row r="48">
      <c r="A48" s="24" t="n"/>
      <c r="B48" s="28" t="n"/>
      <c r="C48" s="28" t="n"/>
      <c r="D48" s="28">
        <f>IF($B48="","",$B48-$C48)</f>
        <v/>
      </c>
      <c r="E48" s="28">
        <f>IF(OR($D48="",$D47=""),"",$D48-$D47)</f>
        <v/>
      </c>
      <c r="F48" s="34">
        <f>IF(N($D47)=0,"",$E48/ABS($D47))</f>
        <v/>
      </c>
      <c r="G48" s="24" t="n"/>
      <c r="H48" s="24" t="n"/>
    </row>
    <row r="49">
      <c r="A49" s="21" t="n"/>
      <c r="B49" s="27" t="n"/>
      <c r="C49" s="27" t="n"/>
      <c r="D49" s="27">
        <f>IF($B49="","",$B49-$C49)</f>
        <v/>
      </c>
      <c r="E49" s="27">
        <f>IF(OR($D49="",$D48=""),"",$D49-$D48)</f>
        <v/>
      </c>
      <c r="F49" s="32">
        <f>IF(N($D48)=0,"",$E49/ABS($D48))</f>
        <v/>
      </c>
      <c r="G49" s="21" t="n"/>
      <c r="H49" s="21" t="n"/>
    </row>
    <row r="50">
      <c r="A50" s="24" t="n"/>
      <c r="B50" s="28" t="n"/>
      <c r="C50" s="28" t="n"/>
      <c r="D50" s="28">
        <f>IF($B50="","",$B50-$C50)</f>
        <v/>
      </c>
      <c r="E50" s="28">
        <f>IF(OR($D50="",$D49=""),"",$D50-$D49)</f>
        <v/>
      </c>
      <c r="F50" s="34">
        <f>IF(N($D49)=0,"",$E50/ABS($D49))</f>
        <v/>
      </c>
      <c r="G50" s="24" t="n"/>
      <c r="H50" s="24" t="n"/>
    </row>
    <row r="51">
      <c r="A51" s="21" t="n"/>
      <c r="B51" s="27" t="n"/>
      <c r="C51" s="27" t="n"/>
      <c r="D51" s="27">
        <f>IF($B51="","",$B51-$C51)</f>
        <v/>
      </c>
      <c r="E51" s="27">
        <f>IF(OR($D51="",$D50=""),"",$D51-$D50)</f>
        <v/>
      </c>
      <c r="F51" s="32">
        <f>IF(N($D50)=0,"",$E51/ABS($D50))</f>
        <v/>
      </c>
      <c r="G51" s="21" t="n"/>
      <c r="H51" s="21" t="n"/>
    </row>
    <row r="52">
      <c r="A52" s="24" t="n"/>
      <c r="B52" s="28" t="n"/>
      <c r="C52" s="28" t="n"/>
      <c r="D52" s="28">
        <f>IF($B52="","",$B52-$C52)</f>
        <v/>
      </c>
      <c r="E52" s="28">
        <f>IF(OR($D52="",$D51=""),"",$D52-$D51)</f>
        <v/>
      </c>
      <c r="F52" s="34">
        <f>IF(N($D51)=0,"",$E52/ABS($D51))</f>
        <v/>
      </c>
      <c r="G52" s="24" t="n"/>
      <c r="H52" s="24" t="n"/>
    </row>
    <row r="53">
      <c r="A53" s="21" t="n"/>
      <c r="B53" s="27" t="n"/>
      <c r="C53" s="27" t="n"/>
      <c r="D53" s="27">
        <f>IF($B53="","",$B53-$C53)</f>
        <v/>
      </c>
      <c r="E53" s="27">
        <f>IF(OR($D53="",$D52=""),"",$D53-$D52)</f>
        <v/>
      </c>
      <c r="F53" s="32">
        <f>IF(N($D52)=0,"",$E53/ABS($D52))</f>
        <v/>
      </c>
      <c r="G53" s="21" t="n"/>
      <c r="H53" s="21" t="n"/>
    </row>
    <row r="54">
      <c r="A54" s="24" t="n"/>
      <c r="B54" s="28" t="n"/>
      <c r="C54" s="28" t="n"/>
      <c r="D54" s="28">
        <f>IF($B54="","",$B54-$C54)</f>
        <v/>
      </c>
      <c r="E54" s="28">
        <f>IF(OR($D54="",$D53=""),"",$D54-$D53)</f>
        <v/>
      </c>
      <c r="F54" s="34">
        <f>IF(N($D53)=0,"",$E54/ABS($D53))</f>
        <v/>
      </c>
      <c r="G54" s="24" t="n"/>
      <c r="H54" s="24" t="n"/>
    </row>
    <row r="55">
      <c r="A55" s="21" t="n"/>
      <c r="B55" s="27" t="n"/>
      <c r="C55" s="27" t="n"/>
      <c r="D55" s="27">
        <f>IF($B55="","",$B55-$C55)</f>
        <v/>
      </c>
      <c r="E55" s="27">
        <f>IF(OR($D55="",$D54=""),"",$D55-$D54)</f>
        <v/>
      </c>
      <c r="F55" s="32">
        <f>IF(N($D54)=0,"",$E55/ABS($D54))</f>
        <v/>
      </c>
      <c r="G55" s="21" t="n"/>
      <c r="H55" s="21" t="n"/>
    </row>
    <row r="56">
      <c r="A56" s="24" t="n"/>
      <c r="B56" s="28" t="n"/>
      <c r="C56" s="28" t="n"/>
      <c r="D56" s="28">
        <f>IF($B56="","",$B56-$C56)</f>
        <v/>
      </c>
      <c r="E56" s="28">
        <f>IF(OR($D56="",$D55=""),"",$D56-$D55)</f>
        <v/>
      </c>
      <c r="F56" s="34">
        <f>IF(N($D55)=0,"",$E56/ABS($D55))</f>
        <v/>
      </c>
      <c r="G56" s="24" t="n"/>
      <c r="H56" s="24" t="n"/>
    </row>
  </sheetData>
  <mergeCells count="4">
    <mergeCell ref="A4:H4"/>
    <mergeCell ref="A31:H31"/>
    <mergeCell ref="A2:H2"/>
    <mergeCell ref="A1:H1"/>
  </mergeCells>
  <conditionalFormatting sqref="E33:E56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F33:F56">
    <cfRule type="cellIs" priority="3" operator="lessThan" dxfId="1">
      <formula>0</formula>
    </cfRule>
    <cfRule type="cellIs" priority="4" operator="greaterThan" dxfId="0">
      <formula>0</formula>
    </cfRule>
  </conditionalFormatting>
  <dataValidations count="3">
    <dataValidation sqref="B6:B25" showDropDown="0" showInputMessage="0" showErrorMessage="0" allowBlank="1" type="list">
      <formula1>=Listas!$E$5:$E$14</formula1>
    </dataValidation>
    <dataValidation sqref="D6:D25" showDropDown="0" showInputMessage="0" showErrorMessage="0" allowBlank="1" type="list">
      <formula1>=Listas!$A$5:$A$7</formula1>
    </dataValidation>
    <dataValidation sqref="F6:F2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A24"/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6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5" customWidth="1" min="9" max="9"/>
    <col width="17" customWidth="1" min="10" max="10"/>
  </cols>
  <sheetData>
    <row r="1" ht="42" customHeight="1">
      <c r="A1" s="1" t="inlineStr">
        <is>
          <t>METAS  ·  pra onde o dinheiro está indo de propósito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Coloque o alvo e o prazo. A planilha te diz quanto precisa guardar por mês pra chegar lá.</t>
        </is>
      </c>
    </row>
    <row r="4" ht="34" customHeight="1">
      <c r="A4" s="19" t="inlineStr">
        <is>
          <t>Meta</t>
        </is>
      </c>
      <c r="B4" s="19" t="inlineStr">
        <is>
          <t>Frente</t>
        </is>
      </c>
      <c r="C4" s="19" t="inlineStr">
        <is>
          <t>Por que importa</t>
        </is>
      </c>
      <c r="D4" s="19" t="inlineStr">
        <is>
          <t>Valor alvo</t>
        </is>
      </c>
      <c r="E4" s="19" t="inlineStr">
        <is>
          <t>Já guardado</t>
        </is>
      </c>
      <c r="F4" s="19" t="inlineStr">
        <is>
          <t>Falta</t>
        </is>
      </c>
      <c r="G4" s="19" t="inlineStr">
        <is>
          <t>% concluído</t>
        </is>
      </c>
      <c r="H4" s="19" t="inlineStr">
        <is>
          <t>Prazo</t>
        </is>
      </c>
      <c r="I4" s="19" t="inlineStr">
        <is>
          <t>Meses restantes</t>
        </is>
      </c>
      <c r="J4" s="19" t="inlineStr">
        <is>
          <t>Guardar por mês</t>
        </is>
      </c>
    </row>
    <row r="5">
      <c r="A5" s="21" t="n"/>
      <c r="B5" s="21" t="n"/>
      <c r="C5" s="21" t="n"/>
      <c r="D5" s="31" t="n"/>
      <c r="E5" s="31" t="n"/>
      <c r="F5" s="31">
        <f>IF($D5="","",MAX(0,$D5-$E5))</f>
        <v/>
      </c>
      <c r="G5" s="32">
        <f>IF(N($D5)=0,"",MIN(1,$E5/$D5))</f>
        <v/>
      </c>
      <c r="H5" s="20" t="n"/>
      <c r="I5" s="21">
        <f>IF($H5="","",MAX(0,DATEDIF(TODAY(),$H5,"M")))</f>
        <v/>
      </c>
      <c r="J5" s="31">
        <f>IF(N($I5)=0,"",$F5/$I5)</f>
        <v/>
      </c>
    </row>
    <row r="6">
      <c r="A6" s="24" t="n"/>
      <c r="B6" s="24" t="n"/>
      <c r="C6" s="24" t="n"/>
      <c r="D6" s="33" t="n"/>
      <c r="E6" s="33" t="n"/>
      <c r="F6" s="33">
        <f>IF($D6="","",MAX(0,$D6-$E6))</f>
        <v/>
      </c>
      <c r="G6" s="34">
        <f>IF(N($D6)=0,"",MIN(1,$E6/$D6))</f>
        <v/>
      </c>
      <c r="H6" s="23" t="n"/>
      <c r="I6" s="24">
        <f>IF($H6="","",MAX(0,DATEDIF(TODAY(),$H6,"M")))</f>
        <v/>
      </c>
      <c r="J6" s="33">
        <f>IF(N($I6)=0,"",$F6/$I6)</f>
        <v/>
      </c>
    </row>
    <row r="7">
      <c r="A7" s="21" t="n"/>
      <c r="B7" s="21" t="n"/>
      <c r="C7" s="21" t="n"/>
      <c r="D7" s="31" t="n"/>
      <c r="E7" s="31" t="n"/>
      <c r="F7" s="31">
        <f>IF($D7="","",MAX(0,$D7-$E7))</f>
        <v/>
      </c>
      <c r="G7" s="32">
        <f>IF(N($D7)=0,"",MIN(1,$E7/$D7))</f>
        <v/>
      </c>
      <c r="H7" s="20" t="n"/>
      <c r="I7" s="21">
        <f>IF($H7="","",MAX(0,DATEDIF(TODAY(),$H7,"M")))</f>
        <v/>
      </c>
      <c r="J7" s="31">
        <f>IF(N($I7)=0,"",$F7/$I7)</f>
        <v/>
      </c>
    </row>
    <row r="8">
      <c r="A8" s="24" t="n"/>
      <c r="B8" s="24" t="n"/>
      <c r="C8" s="24" t="n"/>
      <c r="D8" s="33" t="n"/>
      <c r="E8" s="33" t="n"/>
      <c r="F8" s="33">
        <f>IF($D8="","",MAX(0,$D8-$E8))</f>
        <v/>
      </c>
      <c r="G8" s="34">
        <f>IF(N($D8)=0,"",MIN(1,$E8/$D8))</f>
        <v/>
      </c>
      <c r="H8" s="23" t="n"/>
      <c r="I8" s="24">
        <f>IF($H8="","",MAX(0,DATEDIF(TODAY(),$H8,"M")))</f>
        <v/>
      </c>
      <c r="J8" s="33">
        <f>IF(N($I8)=0,"",$F8/$I8)</f>
        <v/>
      </c>
    </row>
    <row r="9">
      <c r="A9" s="21" t="n"/>
      <c r="B9" s="21" t="n"/>
      <c r="C9" s="21" t="n"/>
      <c r="D9" s="31" t="n"/>
      <c r="E9" s="31" t="n"/>
      <c r="F9" s="31">
        <f>IF($D9="","",MAX(0,$D9-$E9))</f>
        <v/>
      </c>
      <c r="G9" s="32">
        <f>IF(N($D9)=0,"",MIN(1,$E9/$D9))</f>
        <v/>
      </c>
      <c r="H9" s="20" t="n"/>
      <c r="I9" s="21">
        <f>IF($H9="","",MAX(0,DATEDIF(TODAY(),$H9,"M")))</f>
        <v/>
      </c>
      <c r="J9" s="31">
        <f>IF(N($I9)=0,"",$F9/$I9)</f>
        <v/>
      </c>
    </row>
    <row r="10">
      <c r="A10" s="24" t="n"/>
      <c r="B10" s="24" t="n"/>
      <c r="C10" s="24" t="n"/>
      <c r="D10" s="33" t="n"/>
      <c r="E10" s="33" t="n"/>
      <c r="F10" s="33">
        <f>IF($D10="","",MAX(0,$D10-$E10))</f>
        <v/>
      </c>
      <c r="G10" s="34">
        <f>IF(N($D10)=0,"",MIN(1,$E10/$D10))</f>
        <v/>
      </c>
      <c r="H10" s="23" t="n"/>
      <c r="I10" s="24">
        <f>IF($H10="","",MAX(0,DATEDIF(TODAY(),$H10,"M")))</f>
        <v/>
      </c>
      <c r="J10" s="33">
        <f>IF(N($I10)=0,"",$F10/$I10)</f>
        <v/>
      </c>
    </row>
    <row r="11">
      <c r="A11" s="21" t="n"/>
      <c r="B11" s="21" t="n"/>
      <c r="C11" s="21" t="n"/>
      <c r="D11" s="31" t="n"/>
      <c r="E11" s="31" t="n"/>
      <c r="F11" s="31">
        <f>IF($D11="","",MAX(0,$D11-$E11))</f>
        <v/>
      </c>
      <c r="G11" s="32">
        <f>IF(N($D11)=0,"",MIN(1,$E11/$D11))</f>
        <v/>
      </c>
      <c r="H11" s="20" t="n"/>
      <c r="I11" s="21">
        <f>IF($H11="","",MAX(0,DATEDIF(TODAY(),$H11,"M")))</f>
        <v/>
      </c>
      <c r="J11" s="31">
        <f>IF(N($I11)=0,"",$F11/$I11)</f>
        <v/>
      </c>
    </row>
    <row r="12">
      <c r="A12" s="24" t="n"/>
      <c r="B12" s="24" t="n"/>
      <c r="C12" s="24" t="n"/>
      <c r="D12" s="33" t="n"/>
      <c r="E12" s="33" t="n"/>
      <c r="F12" s="33">
        <f>IF($D12="","",MAX(0,$D12-$E12))</f>
        <v/>
      </c>
      <c r="G12" s="34">
        <f>IF(N($D12)=0,"",MIN(1,$E12/$D12))</f>
        <v/>
      </c>
      <c r="H12" s="23" t="n"/>
      <c r="I12" s="24">
        <f>IF($H12="","",MAX(0,DATEDIF(TODAY(),$H12,"M")))</f>
        <v/>
      </c>
      <c r="J12" s="33">
        <f>IF(N($I12)=0,"",$F12/$I12)</f>
        <v/>
      </c>
    </row>
    <row r="13">
      <c r="A13" s="21" t="n"/>
      <c r="B13" s="21" t="n"/>
      <c r="C13" s="21" t="n"/>
      <c r="D13" s="31" t="n"/>
      <c r="E13" s="31" t="n"/>
      <c r="F13" s="31">
        <f>IF($D13="","",MAX(0,$D13-$E13))</f>
        <v/>
      </c>
      <c r="G13" s="32">
        <f>IF(N($D13)=0,"",MIN(1,$E13/$D13))</f>
        <v/>
      </c>
      <c r="H13" s="20" t="n"/>
      <c r="I13" s="21">
        <f>IF($H13="","",MAX(0,DATEDIF(TODAY(),$H13,"M")))</f>
        <v/>
      </c>
      <c r="J13" s="31">
        <f>IF(N($I13)=0,"",$F13/$I13)</f>
        <v/>
      </c>
    </row>
    <row r="14">
      <c r="A14" s="24" t="n"/>
      <c r="B14" s="24" t="n"/>
      <c r="C14" s="24" t="n"/>
      <c r="D14" s="33" t="n"/>
      <c r="E14" s="33" t="n"/>
      <c r="F14" s="33">
        <f>IF($D14="","",MAX(0,$D14-$E14))</f>
        <v/>
      </c>
      <c r="G14" s="34">
        <f>IF(N($D14)=0,"",MIN(1,$E14/$D14))</f>
        <v/>
      </c>
      <c r="H14" s="23" t="n"/>
      <c r="I14" s="24">
        <f>IF($H14="","",MAX(0,DATEDIF(TODAY(),$H14,"M")))</f>
        <v/>
      </c>
      <c r="J14" s="33">
        <f>IF(N($I14)=0,"",$F14/$I14)</f>
        <v/>
      </c>
    </row>
    <row r="15">
      <c r="A15" s="21" t="n"/>
      <c r="B15" s="21" t="n"/>
      <c r="C15" s="21" t="n"/>
      <c r="D15" s="31" t="n"/>
      <c r="E15" s="31" t="n"/>
      <c r="F15" s="31">
        <f>IF($D15="","",MAX(0,$D15-$E15))</f>
        <v/>
      </c>
      <c r="G15" s="32">
        <f>IF(N($D15)=0,"",MIN(1,$E15/$D15))</f>
        <v/>
      </c>
      <c r="H15" s="20" t="n"/>
      <c r="I15" s="21">
        <f>IF($H15="","",MAX(0,DATEDIF(TODAY(),$H15,"M")))</f>
        <v/>
      </c>
      <c r="J15" s="31">
        <f>IF(N($I15)=0,"",$F15/$I15)</f>
        <v/>
      </c>
    </row>
    <row r="16">
      <c r="A16" s="24" t="n"/>
      <c r="B16" s="24" t="n"/>
      <c r="C16" s="24" t="n"/>
      <c r="D16" s="33" t="n"/>
      <c r="E16" s="33" t="n"/>
      <c r="F16" s="33">
        <f>IF($D16="","",MAX(0,$D16-$E16))</f>
        <v/>
      </c>
      <c r="G16" s="34">
        <f>IF(N($D16)=0,"",MIN(1,$E16/$D16))</f>
        <v/>
      </c>
      <c r="H16" s="23" t="n"/>
      <c r="I16" s="24">
        <f>IF($H16="","",MAX(0,DATEDIF(TODAY(),$H16,"M")))</f>
        <v/>
      </c>
      <c r="J16" s="33">
        <f>IF(N($I16)=0,"",$F16/$I16)</f>
        <v/>
      </c>
    </row>
    <row r="17">
      <c r="A17" s="21" t="n"/>
      <c r="B17" s="21" t="n"/>
      <c r="C17" s="21" t="n"/>
      <c r="D17" s="31" t="n"/>
      <c r="E17" s="31" t="n"/>
      <c r="F17" s="31">
        <f>IF($D17="","",MAX(0,$D17-$E17))</f>
        <v/>
      </c>
      <c r="G17" s="32">
        <f>IF(N($D17)=0,"",MIN(1,$E17/$D17))</f>
        <v/>
      </c>
      <c r="H17" s="20" t="n"/>
      <c r="I17" s="21">
        <f>IF($H17="","",MAX(0,DATEDIF(TODAY(),$H17,"M")))</f>
        <v/>
      </c>
      <c r="J17" s="31">
        <f>IF(N($I17)=0,"",$F17/$I17)</f>
        <v/>
      </c>
    </row>
    <row r="18">
      <c r="A18" s="24" t="n"/>
      <c r="B18" s="24" t="n"/>
      <c r="C18" s="24" t="n"/>
      <c r="D18" s="33" t="n"/>
      <c r="E18" s="33" t="n"/>
      <c r="F18" s="33">
        <f>IF($D18="","",MAX(0,$D18-$E18))</f>
        <v/>
      </c>
      <c r="G18" s="34">
        <f>IF(N($D18)=0,"",MIN(1,$E18/$D18))</f>
        <v/>
      </c>
      <c r="H18" s="23" t="n"/>
      <c r="I18" s="24">
        <f>IF($H18="","",MAX(0,DATEDIF(TODAY(),$H18,"M")))</f>
        <v/>
      </c>
      <c r="J18" s="33">
        <f>IF(N($I18)=0,"",$F18/$I18)</f>
        <v/>
      </c>
    </row>
    <row r="19">
      <c r="A19" s="21" t="n"/>
      <c r="B19" s="21" t="n"/>
      <c r="C19" s="21" t="n"/>
      <c r="D19" s="31" t="n"/>
      <c r="E19" s="31" t="n"/>
      <c r="F19" s="31">
        <f>IF($D19="","",MAX(0,$D19-$E19))</f>
        <v/>
      </c>
      <c r="G19" s="32">
        <f>IF(N($D19)=0,"",MIN(1,$E19/$D19))</f>
        <v/>
      </c>
      <c r="H19" s="20" t="n"/>
      <c r="I19" s="21">
        <f>IF($H19="","",MAX(0,DATEDIF(TODAY(),$H19,"M")))</f>
        <v/>
      </c>
      <c r="J19" s="31">
        <f>IF(N($I19)=0,"",$F19/$I19)</f>
        <v/>
      </c>
    </row>
    <row r="20">
      <c r="A20" s="24" t="n"/>
      <c r="B20" s="24" t="n"/>
      <c r="C20" s="24" t="n"/>
      <c r="D20" s="33" t="n"/>
      <c r="E20" s="33" t="n"/>
      <c r="F20" s="33">
        <f>IF($D20="","",MAX(0,$D20-$E20))</f>
        <v/>
      </c>
      <c r="G20" s="34">
        <f>IF(N($D20)=0,"",MIN(1,$E20/$D20))</f>
        <v/>
      </c>
      <c r="H20" s="23" t="n"/>
      <c r="I20" s="24">
        <f>IF($H20="","",MAX(0,DATEDIF(TODAY(),$H20,"M")))</f>
        <v/>
      </c>
      <c r="J20" s="33">
        <f>IF(N($I20)=0,"",$F20/$I20)</f>
        <v/>
      </c>
    </row>
    <row r="21">
      <c r="A21" s="21" t="n"/>
      <c r="B21" s="21" t="n"/>
      <c r="C21" s="21" t="n"/>
      <c r="D21" s="31" t="n"/>
      <c r="E21" s="31" t="n"/>
      <c r="F21" s="31">
        <f>IF($D21="","",MAX(0,$D21-$E21))</f>
        <v/>
      </c>
      <c r="G21" s="32">
        <f>IF(N($D21)=0,"",MIN(1,$E21/$D21))</f>
        <v/>
      </c>
      <c r="H21" s="20" t="n"/>
      <c r="I21" s="21">
        <f>IF($H21="","",MAX(0,DATEDIF(TODAY(),$H21,"M")))</f>
        <v/>
      </c>
      <c r="J21" s="31">
        <f>IF(N($I21)=0,"",$F21/$I21)</f>
        <v/>
      </c>
    </row>
    <row r="22">
      <c r="A22" s="24" t="n"/>
      <c r="B22" s="24" t="n"/>
      <c r="C22" s="24" t="n"/>
      <c r="D22" s="33" t="n"/>
      <c r="E22" s="33" t="n"/>
      <c r="F22" s="33">
        <f>IF($D22="","",MAX(0,$D22-$E22))</f>
        <v/>
      </c>
      <c r="G22" s="34">
        <f>IF(N($D22)=0,"",MIN(1,$E22/$D22))</f>
        <v/>
      </c>
      <c r="H22" s="23" t="n"/>
      <c r="I22" s="24">
        <f>IF($H22="","",MAX(0,DATEDIF(TODAY(),$H22,"M")))</f>
        <v/>
      </c>
      <c r="J22" s="33">
        <f>IF(N($I22)=0,"",$F22/$I22)</f>
        <v/>
      </c>
    </row>
    <row r="23">
      <c r="A23" s="21" t="n"/>
      <c r="B23" s="21" t="n"/>
      <c r="C23" s="21" t="n"/>
      <c r="D23" s="31" t="n"/>
      <c r="E23" s="31" t="n"/>
      <c r="F23" s="31">
        <f>IF($D23="","",MAX(0,$D23-$E23))</f>
        <v/>
      </c>
      <c r="G23" s="32">
        <f>IF(N($D23)=0,"",MIN(1,$E23/$D23))</f>
        <v/>
      </c>
      <c r="H23" s="20" t="n"/>
      <c r="I23" s="21">
        <f>IF($H23="","",MAX(0,DATEDIF(TODAY(),$H23,"M")))</f>
        <v/>
      </c>
      <c r="J23" s="31">
        <f>IF(N($I23)=0,"",$F23/$I23)</f>
        <v/>
      </c>
    </row>
    <row r="24">
      <c r="A24" s="24" t="n"/>
      <c r="B24" s="24" t="n"/>
      <c r="C24" s="24" t="n"/>
      <c r="D24" s="33" t="n"/>
      <c r="E24" s="33" t="n"/>
      <c r="F24" s="33">
        <f>IF($D24="","",MAX(0,$D24-$E24))</f>
        <v/>
      </c>
      <c r="G24" s="34">
        <f>IF(N($D24)=0,"",MIN(1,$E24/$D24))</f>
        <v/>
      </c>
      <c r="H24" s="23" t="n"/>
      <c r="I24" s="24">
        <f>IF($H24="","",MAX(0,DATEDIF(TODAY(),$H24,"M")))</f>
        <v/>
      </c>
      <c r="J24" s="33">
        <f>IF(N($I24)=0,"",$F24/$I24)</f>
        <v/>
      </c>
    </row>
  </sheetData>
  <mergeCells count="2">
    <mergeCell ref="A1:J1"/>
    <mergeCell ref="A2:J2"/>
  </mergeCells>
  <conditionalFormatting sqref="G5:G24">
    <cfRule type="dataBar" priority="1">
      <dataBar>
        <cfvo type="num" val="0"/>
        <cfvo type="num" val="1"/>
        <color rgb="00C9A961"/>
      </dataBar>
    </cfRule>
  </conditionalFormatting>
  <dataValidations count="1">
    <dataValidation sqref="B5:B24" showDropDown="0" showInputMessage="0" showErrorMessage="0" allowBlank="1" type="list">
      <formula1>=Listas!$A$5:$A$7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2A24"/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2" customWidth="1" min="3" max="3"/>
    <col width="15" customWidth="1" min="4" max="4"/>
    <col width="14" customWidth="1" min="5" max="5"/>
    <col width="15" customWidth="1" min="6" max="6"/>
    <col width="15" customWidth="1" min="7" max="7"/>
    <col width="15" customWidth="1" min="8" max="8"/>
    <col width="18" customWidth="1" min="9" max="9"/>
    <col width="11" customWidth="1" min="10" max="10"/>
  </cols>
  <sheetData>
    <row r="1" ht="42" customHeight="1">
      <c r="A1" s="1" t="inlineStr">
        <is>
          <t>ASSINATURAS  ·  o dinheiro que sai sozinho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Tudo que debita sem você aprovar. A coluna 'Custo no ano' costuma doer — é pra doer mesmo.</t>
        </is>
      </c>
    </row>
    <row r="4" ht="34" customHeight="1">
      <c r="A4" s="19" t="inlineStr">
        <is>
          <t>Serviço</t>
        </is>
      </c>
      <c r="B4" s="19" t="inlineStr">
        <is>
          <t>Frente</t>
        </is>
      </c>
      <c r="C4" s="19" t="inlineStr">
        <is>
          <t>Pra que serve</t>
        </is>
      </c>
      <c r="D4" s="19" t="inlineStr">
        <is>
          <t>Valor cobrado</t>
        </is>
      </c>
      <c r="E4" s="19" t="inlineStr">
        <is>
          <t>Frequência</t>
        </is>
      </c>
      <c r="F4" s="19" t="inlineStr">
        <is>
          <t>Dia da cobrança</t>
        </is>
      </c>
      <c r="G4" s="19" t="inlineStr">
        <is>
          <t>Custo no mês</t>
        </is>
      </c>
      <c r="H4" s="19" t="inlineStr">
        <is>
          <t>Custo no ano</t>
        </is>
      </c>
      <c r="I4" s="19" t="inlineStr">
        <is>
          <t>Cartão</t>
        </is>
      </c>
      <c r="J4" s="19" t="inlineStr">
        <is>
          <t>Ativa?</t>
        </is>
      </c>
    </row>
    <row r="5">
      <c r="A5" s="21" t="n"/>
      <c r="B5" s="21" t="n"/>
      <c r="C5" s="21" t="n"/>
      <c r="D5" s="31" t="n"/>
      <c r="E5" s="21" t="n"/>
      <c r="F5" s="21" t="n"/>
      <c r="G5" s="31">
        <f>IF($D5="","",$D5/IFS($E5="Mensal",1,$E5="Trimestral",3,$E5="Semestral",6,$E5="Anual",12))</f>
        <v/>
      </c>
      <c r="H5" s="31">
        <f>IF($G5="","",$G5*12)</f>
        <v/>
      </c>
      <c r="I5" s="21" t="n"/>
      <c r="J5" s="21" t="n"/>
    </row>
    <row r="6">
      <c r="A6" s="24" t="n"/>
      <c r="B6" s="24" t="n"/>
      <c r="C6" s="24" t="n"/>
      <c r="D6" s="33" t="n"/>
      <c r="E6" s="24" t="n"/>
      <c r="F6" s="24" t="n"/>
      <c r="G6" s="33">
        <f>IF($D6="","",$D6/IFS($E6="Mensal",1,$E6="Trimestral",3,$E6="Semestral",6,$E6="Anual",12))</f>
        <v/>
      </c>
      <c r="H6" s="33">
        <f>IF($G6="","",$G6*12)</f>
        <v/>
      </c>
      <c r="I6" s="24" t="n"/>
      <c r="J6" s="24" t="n"/>
    </row>
    <row r="7">
      <c r="A7" s="21" t="n"/>
      <c r="B7" s="21" t="n"/>
      <c r="C7" s="21" t="n"/>
      <c r="D7" s="31" t="n"/>
      <c r="E7" s="21" t="n"/>
      <c r="F7" s="21" t="n"/>
      <c r="G7" s="31">
        <f>IF($D7="","",$D7/IFS($E7="Mensal",1,$E7="Trimestral",3,$E7="Semestral",6,$E7="Anual",12))</f>
        <v/>
      </c>
      <c r="H7" s="31">
        <f>IF($G7="","",$G7*12)</f>
        <v/>
      </c>
      <c r="I7" s="21" t="n"/>
      <c r="J7" s="21" t="n"/>
    </row>
    <row r="8">
      <c r="A8" s="24" t="n"/>
      <c r="B8" s="24" t="n"/>
      <c r="C8" s="24" t="n"/>
      <c r="D8" s="33" t="n"/>
      <c r="E8" s="24" t="n"/>
      <c r="F8" s="24" t="n"/>
      <c r="G8" s="33">
        <f>IF($D8="","",$D8/IFS($E8="Mensal",1,$E8="Trimestral",3,$E8="Semestral",6,$E8="Anual",12))</f>
        <v/>
      </c>
      <c r="H8" s="33">
        <f>IF($G8="","",$G8*12)</f>
        <v/>
      </c>
      <c r="I8" s="24" t="n"/>
      <c r="J8" s="24" t="n"/>
    </row>
    <row r="9">
      <c r="A9" s="21" t="n"/>
      <c r="B9" s="21" t="n"/>
      <c r="C9" s="21" t="n"/>
      <c r="D9" s="31" t="n"/>
      <c r="E9" s="21" t="n"/>
      <c r="F9" s="21" t="n"/>
      <c r="G9" s="31">
        <f>IF($D9="","",$D9/IFS($E9="Mensal",1,$E9="Trimestral",3,$E9="Semestral",6,$E9="Anual",12))</f>
        <v/>
      </c>
      <c r="H9" s="31">
        <f>IF($G9="","",$G9*12)</f>
        <v/>
      </c>
      <c r="I9" s="21" t="n"/>
      <c r="J9" s="21" t="n"/>
    </row>
    <row r="10">
      <c r="A10" s="24" t="n"/>
      <c r="B10" s="24" t="n"/>
      <c r="C10" s="24" t="n"/>
      <c r="D10" s="33" t="n"/>
      <c r="E10" s="24" t="n"/>
      <c r="F10" s="24" t="n"/>
      <c r="G10" s="33">
        <f>IF($D10="","",$D10/IFS($E10="Mensal",1,$E10="Trimestral",3,$E10="Semestral",6,$E10="Anual",12))</f>
        <v/>
      </c>
      <c r="H10" s="33">
        <f>IF($G10="","",$G10*12)</f>
        <v/>
      </c>
      <c r="I10" s="24" t="n"/>
      <c r="J10" s="24" t="n"/>
    </row>
    <row r="11">
      <c r="A11" s="21" t="n"/>
      <c r="B11" s="21" t="n"/>
      <c r="C11" s="21" t="n"/>
      <c r="D11" s="31" t="n"/>
      <c r="E11" s="21" t="n"/>
      <c r="F11" s="21" t="n"/>
      <c r="G11" s="31">
        <f>IF($D11="","",$D11/IFS($E11="Mensal",1,$E11="Trimestral",3,$E11="Semestral",6,$E11="Anual",12))</f>
        <v/>
      </c>
      <c r="H11" s="31">
        <f>IF($G11="","",$G11*12)</f>
        <v/>
      </c>
      <c r="I11" s="21" t="n"/>
      <c r="J11" s="21" t="n"/>
    </row>
    <row r="12">
      <c r="A12" s="24" t="n"/>
      <c r="B12" s="24" t="n"/>
      <c r="C12" s="24" t="n"/>
      <c r="D12" s="33" t="n"/>
      <c r="E12" s="24" t="n"/>
      <c r="F12" s="24" t="n"/>
      <c r="G12" s="33">
        <f>IF($D12="","",$D12/IFS($E12="Mensal",1,$E12="Trimestral",3,$E12="Semestral",6,$E12="Anual",12))</f>
        <v/>
      </c>
      <c r="H12" s="33">
        <f>IF($G12="","",$G12*12)</f>
        <v/>
      </c>
      <c r="I12" s="24" t="n"/>
      <c r="J12" s="24" t="n"/>
    </row>
    <row r="13">
      <c r="A13" s="21" t="n"/>
      <c r="B13" s="21" t="n"/>
      <c r="C13" s="21" t="n"/>
      <c r="D13" s="31" t="n"/>
      <c r="E13" s="21" t="n"/>
      <c r="F13" s="21" t="n"/>
      <c r="G13" s="31">
        <f>IF($D13="","",$D13/IFS($E13="Mensal",1,$E13="Trimestral",3,$E13="Semestral",6,$E13="Anual",12))</f>
        <v/>
      </c>
      <c r="H13" s="31">
        <f>IF($G13="","",$G13*12)</f>
        <v/>
      </c>
      <c r="I13" s="21" t="n"/>
      <c r="J13" s="21" t="n"/>
    </row>
    <row r="14">
      <c r="A14" s="24" t="n"/>
      <c r="B14" s="24" t="n"/>
      <c r="C14" s="24" t="n"/>
      <c r="D14" s="33" t="n"/>
      <c r="E14" s="24" t="n"/>
      <c r="F14" s="24" t="n"/>
      <c r="G14" s="33">
        <f>IF($D14="","",$D14/IFS($E14="Mensal",1,$E14="Trimestral",3,$E14="Semestral",6,$E14="Anual",12))</f>
        <v/>
      </c>
      <c r="H14" s="33">
        <f>IF($G14="","",$G14*12)</f>
        <v/>
      </c>
      <c r="I14" s="24" t="n"/>
      <c r="J14" s="24" t="n"/>
    </row>
    <row r="15">
      <c r="A15" s="21" t="n"/>
      <c r="B15" s="21" t="n"/>
      <c r="C15" s="21" t="n"/>
      <c r="D15" s="31" t="n"/>
      <c r="E15" s="21" t="n"/>
      <c r="F15" s="21" t="n"/>
      <c r="G15" s="31">
        <f>IF($D15="","",$D15/IFS($E15="Mensal",1,$E15="Trimestral",3,$E15="Semestral",6,$E15="Anual",12))</f>
        <v/>
      </c>
      <c r="H15" s="31">
        <f>IF($G15="","",$G15*12)</f>
        <v/>
      </c>
      <c r="I15" s="21" t="n"/>
      <c r="J15" s="21" t="n"/>
    </row>
    <row r="16">
      <c r="A16" s="24" t="n"/>
      <c r="B16" s="24" t="n"/>
      <c r="C16" s="24" t="n"/>
      <c r="D16" s="33" t="n"/>
      <c r="E16" s="24" t="n"/>
      <c r="F16" s="24" t="n"/>
      <c r="G16" s="33">
        <f>IF($D16="","",$D16/IFS($E16="Mensal",1,$E16="Trimestral",3,$E16="Semestral",6,$E16="Anual",12))</f>
        <v/>
      </c>
      <c r="H16" s="33">
        <f>IF($G16="","",$G16*12)</f>
        <v/>
      </c>
      <c r="I16" s="24" t="n"/>
      <c r="J16" s="24" t="n"/>
    </row>
    <row r="17">
      <c r="A17" s="21" t="n"/>
      <c r="B17" s="21" t="n"/>
      <c r="C17" s="21" t="n"/>
      <c r="D17" s="31" t="n"/>
      <c r="E17" s="21" t="n"/>
      <c r="F17" s="21" t="n"/>
      <c r="G17" s="31">
        <f>IF($D17="","",$D17/IFS($E17="Mensal",1,$E17="Trimestral",3,$E17="Semestral",6,$E17="Anual",12))</f>
        <v/>
      </c>
      <c r="H17" s="31">
        <f>IF($G17="","",$G17*12)</f>
        <v/>
      </c>
      <c r="I17" s="21" t="n"/>
      <c r="J17" s="21" t="n"/>
    </row>
    <row r="18">
      <c r="A18" s="24" t="n"/>
      <c r="B18" s="24" t="n"/>
      <c r="C18" s="24" t="n"/>
      <c r="D18" s="33" t="n"/>
      <c r="E18" s="24" t="n"/>
      <c r="F18" s="24" t="n"/>
      <c r="G18" s="33">
        <f>IF($D18="","",$D18/IFS($E18="Mensal",1,$E18="Trimestral",3,$E18="Semestral",6,$E18="Anual",12))</f>
        <v/>
      </c>
      <c r="H18" s="33">
        <f>IF($G18="","",$G18*12)</f>
        <v/>
      </c>
      <c r="I18" s="24" t="n"/>
      <c r="J18" s="24" t="n"/>
    </row>
    <row r="19">
      <c r="A19" s="21" t="n"/>
      <c r="B19" s="21" t="n"/>
      <c r="C19" s="21" t="n"/>
      <c r="D19" s="31" t="n"/>
      <c r="E19" s="21" t="n"/>
      <c r="F19" s="21" t="n"/>
      <c r="G19" s="31">
        <f>IF($D19="","",$D19/IFS($E19="Mensal",1,$E19="Trimestral",3,$E19="Semestral",6,$E19="Anual",12))</f>
        <v/>
      </c>
      <c r="H19" s="31">
        <f>IF($G19="","",$G19*12)</f>
        <v/>
      </c>
      <c r="I19" s="21" t="n"/>
      <c r="J19" s="21" t="n"/>
    </row>
    <row r="20">
      <c r="A20" s="24" t="n"/>
      <c r="B20" s="24" t="n"/>
      <c r="C20" s="24" t="n"/>
      <c r="D20" s="33" t="n"/>
      <c r="E20" s="24" t="n"/>
      <c r="F20" s="24" t="n"/>
      <c r="G20" s="33">
        <f>IF($D20="","",$D20/IFS($E20="Mensal",1,$E20="Trimestral",3,$E20="Semestral",6,$E20="Anual",12))</f>
        <v/>
      </c>
      <c r="H20" s="33">
        <f>IF($G20="","",$G20*12)</f>
        <v/>
      </c>
      <c r="I20" s="24" t="n"/>
      <c r="J20" s="24" t="n"/>
    </row>
    <row r="21">
      <c r="A21" s="21" t="n"/>
      <c r="B21" s="21" t="n"/>
      <c r="C21" s="21" t="n"/>
      <c r="D21" s="31" t="n"/>
      <c r="E21" s="21" t="n"/>
      <c r="F21" s="21" t="n"/>
      <c r="G21" s="31">
        <f>IF($D21="","",$D21/IFS($E21="Mensal",1,$E21="Trimestral",3,$E21="Semestral",6,$E21="Anual",12))</f>
        <v/>
      </c>
      <c r="H21" s="31">
        <f>IF($G21="","",$G21*12)</f>
        <v/>
      </c>
      <c r="I21" s="21" t="n"/>
      <c r="J21" s="21" t="n"/>
    </row>
    <row r="22">
      <c r="A22" s="24" t="n"/>
      <c r="B22" s="24" t="n"/>
      <c r="C22" s="24" t="n"/>
      <c r="D22" s="33" t="n"/>
      <c r="E22" s="24" t="n"/>
      <c r="F22" s="24" t="n"/>
      <c r="G22" s="33">
        <f>IF($D22="","",$D22/IFS($E22="Mensal",1,$E22="Trimestral",3,$E22="Semestral",6,$E22="Anual",12))</f>
        <v/>
      </c>
      <c r="H22" s="33">
        <f>IF($G22="","",$G22*12)</f>
        <v/>
      </c>
      <c r="I22" s="24" t="n"/>
      <c r="J22" s="24" t="n"/>
    </row>
    <row r="23">
      <c r="A23" s="21" t="n"/>
      <c r="B23" s="21" t="n"/>
      <c r="C23" s="21" t="n"/>
      <c r="D23" s="31" t="n"/>
      <c r="E23" s="21" t="n"/>
      <c r="F23" s="21" t="n"/>
      <c r="G23" s="31">
        <f>IF($D23="","",$D23/IFS($E23="Mensal",1,$E23="Trimestral",3,$E23="Semestral",6,$E23="Anual",12))</f>
        <v/>
      </c>
      <c r="H23" s="31">
        <f>IF($G23="","",$G23*12)</f>
        <v/>
      </c>
      <c r="I23" s="21" t="n"/>
      <c r="J23" s="21" t="n"/>
    </row>
    <row r="24">
      <c r="A24" s="24" t="n"/>
      <c r="B24" s="24" t="n"/>
      <c r="C24" s="24" t="n"/>
      <c r="D24" s="33" t="n"/>
      <c r="E24" s="24" t="n"/>
      <c r="F24" s="24" t="n"/>
      <c r="G24" s="33">
        <f>IF($D24="","",$D24/IFS($E24="Mensal",1,$E24="Trimestral",3,$E24="Semestral",6,$E24="Anual",12))</f>
        <v/>
      </c>
      <c r="H24" s="33">
        <f>IF($G24="","",$G24*12)</f>
        <v/>
      </c>
      <c r="I24" s="24" t="n"/>
      <c r="J24" s="24" t="n"/>
    </row>
    <row r="25">
      <c r="A25" s="21" t="n"/>
      <c r="B25" s="21" t="n"/>
      <c r="C25" s="21" t="n"/>
      <c r="D25" s="31" t="n"/>
      <c r="E25" s="21" t="n"/>
      <c r="F25" s="21" t="n"/>
      <c r="G25" s="31">
        <f>IF($D25="","",$D25/IFS($E25="Mensal",1,$E25="Trimestral",3,$E25="Semestral",6,$E25="Anual",12))</f>
        <v/>
      </c>
      <c r="H25" s="31">
        <f>IF($G25="","",$G25*12)</f>
        <v/>
      </c>
      <c r="I25" s="21" t="n"/>
      <c r="J25" s="21" t="n"/>
    </row>
    <row r="26">
      <c r="A26" s="24" t="n"/>
      <c r="B26" s="24" t="n"/>
      <c r="C26" s="24" t="n"/>
      <c r="D26" s="33" t="n"/>
      <c r="E26" s="24" t="n"/>
      <c r="F26" s="24" t="n"/>
      <c r="G26" s="33">
        <f>IF($D26="","",$D26/IFS($E26="Mensal",1,$E26="Trimestral",3,$E26="Semestral",6,$E26="Anual",12))</f>
        <v/>
      </c>
      <c r="H26" s="33">
        <f>IF($G26="","",$G26*12)</f>
        <v/>
      </c>
      <c r="I26" s="24" t="n"/>
      <c r="J26" s="24" t="n"/>
    </row>
    <row r="27">
      <c r="A27" s="21" t="n"/>
      <c r="B27" s="21" t="n"/>
      <c r="C27" s="21" t="n"/>
      <c r="D27" s="31" t="n"/>
      <c r="E27" s="21" t="n"/>
      <c r="F27" s="21" t="n"/>
      <c r="G27" s="31">
        <f>IF($D27="","",$D27/IFS($E27="Mensal",1,$E27="Trimestral",3,$E27="Semestral",6,$E27="Anual",12))</f>
        <v/>
      </c>
      <c r="H27" s="31">
        <f>IF($G27="","",$G27*12)</f>
        <v/>
      </c>
      <c r="I27" s="21" t="n"/>
      <c r="J27" s="21" t="n"/>
    </row>
    <row r="28">
      <c r="A28" s="24" t="n"/>
      <c r="B28" s="24" t="n"/>
      <c r="C28" s="24" t="n"/>
      <c r="D28" s="33" t="n"/>
      <c r="E28" s="24" t="n"/>
      <c r="F28" s="24" t="n"/>
      <c r="G28" s="33">
        <f>IF($D28="","",$D28/IFS($E28="Mensal",1,$E28="Trimestral",3,$E28="Semestral",6,$E28="Anual",12))</f>
        <v/>
      </c>
      <c r="H28" s="33">
        <f>IF($G28="","",$G28*12)</f>
        <v/>
      </c>
      <c r="I28" s="24" t="n"/>
      <c r="J28" s="24" t="n"/>
    </row>
    <row r="29">
      <c r="A29" s="21" t="n"/>
      <c r="B29" s="21" t="n"/>
      <c r="C29" s="21" t="n"/>
      <c r="D29" s="31" t="n"/>
      <c r="E29" s="21" t="n"/>
      <c r="F29" s="21" t="n"/>
      <c r="G29" s="31">
        <f>IF($D29="","",$D29/IFS($E29="Mensal",1,$E29="Trimestral",3,$E29="Semestral",6,$E29="Anual",12))</f>
        <v/>
      </c>
      <c r="H29" s="31">
        <f>IF($G29="","",$G29*12)</f>
        <v/>
      </c>
      <c r="I29" s="21" t="n"/>
      <c r="J29" s="21" t="n"/>
    </row>
    <row r="30">
      <c r="A30" s="24" t="n"/>
      <c r="B30" s="24" t="n"/>
      <c r="C30" s="24" t="n"/>
      <c r="D30" s="33" t="n"/>
      <c r="E30" s="24" t="n"/>
      <c r="F30" s="24" t="n"/>
      <c r="G30" s="33">
        <f>IF($D30="","",$D30/IFS($E30="Mensal",1,$E30="Trimestral",3,$E30="Semestral",6,$E30="Anual",12))</f>
        <v/>
      </c>
      <c r="H30" s="33">
        <f>IF($G30="","",$G30*12)</f>
        <v/>
      </c>
      <c r="I30" s="24" t="n"/>
      <c r="J30" s="24" t="n"/>
    </row>
    <row r="31">
      <c r="A31" s="21" t="n"/>
      <c r="B31" s="21" t="n"/>
      <c r="C31" s="21" t="n"/>
      <c r="D31" s="31" t="n"/>
      <c r="E31" s="21" t="n"/>
      <c r="F31" s="21" t="n"/>
      <c r="G31" s="31">
        <f>IF($D31="","",$D31/IFS($E31="Mensal",1,$E31="Trimestral",3,$E31="Semestral",6,$E31="Anual",12))</f>
        <v/>
      </c>
      <c r="H31" s="31">
        <f>IF($G31="","",$G31*12)</f>
        <v/>
      </c>
      <c r="I31" s="21" t="n"/>
      <c r="J31" s="21" t="n"/>
    </row>
    <row r="32">
      <c r="A32" s="24" t="n"/>
      <c r="B32" s="24" t="n"/>
      <c r="C32" s="24" t="n"/>
      <c r="D32" s="33" t="n"/>
      <c r="E32" s="24" t="n"/>
      <c r="F32" s="24" t="n"/>
      <c r="G32" s="33">
        <f>IF($D32="","",$D32/IFS($E32="Mensal",1,$E32="Trimestral",3,$E32="Semestral",6,$E32="Anual",12))</f>
        <v/>
      </c>
      <c r="H32" s="33">
        <f>IF($G32="","",$G32*12)</f>
        <v/>
      </c>
      <c r="I32" s="24" t="n"/>
      <c r="J32" s="24" t="n"/>
    </row>
    <row r="33">
      <c r="A33" s="21" t="n"/>
      <c r="B33" s="21" t="n"/>
      <c r="C33" s="21" t="n"/>
      <c r="D33" s="31" t="n"/>
      <c r="E33" s="21" t="n"/>
      <c r="F33" s="21" t="n"/>
      <c r="G33" s="31">
        <f>IF($D33="","",$D33/IFS($E33="Mensal",1,$E33="Trimestral",3,$E33="Semestral",6,$E33="Anual",12))</f>
        <v/>
      </c>
      <c r="H33" s="31">
        <f>IF($G33="","",$G33*12)</f>
        <v/>
      </c>
      <c r="I33" s="21" t="n"/>
      <c r="J33" s="21" t="n"/>
    </row>
    <row r="34">
      <c r="A34" s="24" t="n"/>
      <c r="B34" s="24" t="n"/>
      <c r="C34" s="24" t="n"/>
      <c r="D34" s="33" t="n"/>
      <c r="E34" s="24" t="n"/>
      <c r="F34" s="24" t="n"/>
      <c r="G34" s="33">
        <f>IF($D34="","",$D34/IFS($E34="Mensal",1,$E34="Trimestral",3,$E34="Semestral",6,$E34="Anual",12))</f>
        <v/>
      </c>
      <c r="H34" s="33">
        <f>IF($G34="","",$G34*12)</f>
        <v/>
      </c>
      <c r="I34" s="24" t="n"/>
      <c r="J34" s="24" t="n"/>
    </row>
    <row r="36">
      <c r="A36" s="35" t="inlineStr">
        <is>
          <t>SANGRIA (só as assinaturas ativas)</t>
        </is>
      </c>
      <c r="G36" s="36">
        <f>SUMIFS(G5:G34,J5:J34,"Sim")</f>
        <v/>
      </c>
      <c r="H36" s="36">
        <f>SUMIFS(H5:H34,J5:J34,"Sim")</f>
        <v/>
      </c>
    </row>
  </sheetData>
  <mergeCells count="2">
    <mergeCell ref="A1:J1"/>
    <mergeCell ref="A2:J2"/>
  </mergeCells>
  <dataValidations count="3">
    <dataValidation sqref="B5:B34" showDropDown="0" showInputMessage="0" showErrorMessage="0" allowBlank="1" type="list">
      <formula1>=Listas!$A$5:$A$7</formula1>
    </dataValidation>
    <dataValidation sqref="E5:E34" showDropDown="0" showInputMessage="0" showErrorMessage="0" allowBlank="1" type="list">
      <formula1>=Listas!$F$5:$F$8</formula1>
    </dataValidation>
    <dataValidation sqref="J5:J3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2A24"/>
    <outlinePr summaryBelow="1" summaryRight="1"/>
    <pageSetUpPr/>
  </sheetPr>
  <dimension ref="A1:L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38" customWidth="1" min="4" max="4"/>
    <col width="18" customWidth="1" min="5" max="5"/>
    <col width="15" customWidth="1" min="6" max="6"/>
    <col width="20" customWidth="1" min="7" max="7"/>
    <col width="18" customWidth="1" min="8" max="8"/>
    <col width="16" customWidth="1" min="9" max="9"/>
    <col width="12" customWidth="1" min="10" max="10"/>
    <col width="14" customWidth="1" min="11" max="11"/>
    <col width="36" customWidth="1" min="12" max="12"/>
  </cols>
  <sheetData>
    <row r="1" ht="42" customHeight="1">
      <c r="A1" s="1" t="inlineStr">
        <is>
          <t>ESTRATÉGIAS  ·  fazer dinheiro e fazer o dinheiro render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Cada linha é uma aposta. Payback diz em quantos meses ela se paga. Revise no dia 1 do mês.</t>
        </is>
      </c>
    </row>
    <row r="4" ht="34" customHeight="1">
      <c r="A4" s="19" t="inlineStr">
        <is>
          <t>Estratégia</t>
        </is>
      </c>
      <c r="B4" s="19" t="inlineStr">
        <is>
          <t>Frente</t>
        </is>
      </c>
      <c r="C4" s="19" t="inlineStr">
        <is>
          <t>Tipo</t>
        </is>
      </c>
      <c r="D4" s="19" t="inlineStr">
        <is>
          <t>O que precisa acontecer</t>
        </is>
      </c>
      <c r="E4" s="19" t="inlineStr">
        <is>
          <t>Investimento inicial</t>
        </is>
      </c>
      <c r="F4" s="19" t="inlineStr">
        <is>
          <t>Custo por mês</t>
        </is>
      </c>
      <c r="G4" s="19" t="inlineStr">
        <is>
          <t>Retorno esperado / mês</t>
        </is>
      </c>
      <c r="H4" s="19" t="inlineStr">
        <is>
          <t>Lucro líquido / mês</t>
        </is>
      </c>
      <c r="I4" s="19" t="inlineStr">
        <is>
          <t>Payback (meses)</t>
        </is>
      </c>
      <c r="J4" s="19" t="inlineStr">
        <is>
          <t>Esforço</t>
        </is>
      </c>
      <c r="K4" s="19" t="inlineStr">
        <is>
          <t>Status</t>
        </is>
      </c>
      <c r="L4" s="19" t="inlineStr">
        <is>
          <t>Próxima ação</t>
        </is>
      </c>
    </row>
    <row r="5">
      <c r="A5" s="21" t="n"/>
      <c r="B5" s="21" t="n"/>
      <c r="C5" s="21" t="n"/>
      <c r="D5" s="21" t="n"/>
      <c r="E5" s="27" t="n"/>
      <c r="F5" s="27" t="n"/>
      <c r="G5" s="27" t="n"/>
      <c r="H5" s="27">
        <f>IF($G5="","",$G5-$F5)</f>
        <v/>
      </c>
      <c r="I5" s="41">
        <f>IF(N($H5)&lt;=0,"",$E5/$H5)</f>
        <v/>
      </c>
      <c r="J5" s="21" t="n"/>
      <c r="K5" s="21" t="n"/>
      <c r="L5" s="21" t="n"/>
    </row>
    <row r="6">
      <c r="A6" s="24" t="n"/>
      <c r="B6" s="24" t="n"/>
      <c r="C6" s="24" t="n"/>
      <c r="D6" s="24" t="n"/>
      <c r="E6" s="28" t="n"/>
      <c r="F6" s="28" t="n"/>
      <c r="G6" s="28" t="n"/>
      <c r="H6" s="28">
        <f>IF($G6="","",$G6-$F6)</f>
        <v/>
      </c>
      <c r="I6" s="42">
        <f>IF(N($H6)&lt;=0,"",$E6/$H6)</f>
        <v/>
      </c>
      <c r="J6" s="24" t="n"/>
      <c r="K6" s="24" t="n"/>
      <c r="L6" s="24" t="n"/>
    </row>
    <row r="7">
      <c r="A7" s="21" t="n"/>
      <c r="B7" s="21" t="n"/>
      <c r="C7" s="21" t="n"/>
      <c r="D7" s="21" t="n"/>
      <c r="E7" s="27" t="n"/>
      <c r="F7" s="27" t="n"/>
      <c r="G7" s="27" t="n"/>
      <c r="H7" s="27">
        <f>IF($G7="","",$G7-$F7)</f>
        <v/>
      </c>
      <c r="I7" s="41">
        <f>IF(N($H7)&lt;=0,"",$E7/$H7)</f>
        <v/>
      </c>
      <c r="J7" s="21" t="n"/>
      <c r="K7" s="21" t="n"/>
      <c r="L7" s="21" t="n"/>
    </row>
    <row r="8">
      <c r="A8" s="24" t="n"/>
      <c r="B8" s="24" t="n"/>
      <c r="C8" s="24" t="n"/>
      <c r="D8" s="24" t="n"/>
      <c r="E8" s="28" t="n"/>
      <c r="F8" s="28" t="n"/>
      <c r="G8" s="28" t="n"/>
      <c r="H8" s="28">
        <f>IF($G8="","",$G8-$F8)</f>
        <v/>
      </c>
      <c r="I8" s="42">
        <f>IF(N($H8)&lt;=0,"",$E8/$H8)</f>
        <v/>
      </c>
      <c r="J8" s="24" t="n"/>
      <c r="K8" s="24" t="n"/>
      <c r="L8" s="24" t="n"/>
    </row>
    <row r="9">
      <c r="A9" s="21" t="n"/>
      <c r="B9" s="21" t="n"/>
      <c r="C9" s="21" t="n"/>
      <c r="D9" s="21" t="n"/>
      <c r="E9" s="27" t="n"/>
      <c r="F9" s="27" t="n"/>
      <c r="G9" s="27" t="n"/>
      <c r="H9" s="27">
        <f>IF($G9="","",$G9-$F9)</f>
        <v/>
      </c>
      <c r="I9" s="41">
        <f>IF(N($H9)&lt;=0,"",$E9/$H9)</f>
        <v/>
      </c>
      <c r="J9" s="21" t="n"/>
      <c r="K9" s="21" t="n"/>
      <c r="L9" s="21" t="n"/>
    </row>
    <row r="10">
      <c r="A10" s="24" t="n"/>
      <c r="B10" s="24" t="n"/>
      <c r="C10" s="24" t="n"/>
      <c r="D10" s="24" t="n"/>
      <c r="E10" s="28" t="n"/>
      <c r="F10" s="28" t="n"/>
      <c r="G10" s="28" t="n"/>
      <c r="H10" s="28">
        <f>IF($G10="","",$G10-$F10)</f>
        <v/>
      </c>
      <c r="I10" s="42">
        <f>IF(N($H10)&lt;=0,"",$E10/$H10)</f>
        <v/>
      </c>
      <c r="J10" s="24" t="n"/>
      <c r="K10" s="24" t="n"/>
      <c r="L10" s="24" t="n"/>
    </row>
    <row r="11">
      <c r="A11" s="21" t="n"/>
      <c r="B11" s="21" t="n"/>
      <c r="C11" s="21" t="n"/>
      <c r="D11" s="21" t="n"/>
      <c r="E11" s="27" t="n"/>
      <c r="F11" s="27" t="n"/>
      <c r="G11" s="27" t="n"/>
      <c r="H11" s="27">
        <f>IF($G11="","",$G11-$F11)</f>
        <v/>
      </c>
      <c r="I11" s="41">
        <f>IF(N($H11)&lt;=0,"",$E11/$H11)</f>
        <v/>
      </c>
      <c r="J11" s="21" t="n"/>
      <c r="K11" s="21" t="n"/>
      <c r="L11" s="21" t="n"/>
    </row>
    <row r="12">
      <c r="A12" s="24" t="n"/>
      <c r="B12" s="24" t="n"/>
      <c r="C12" s="24" t="n"/>
      <c r="D12" s="24" t="n"/>
      <c r="E12" s="28" t="n"/>
      <c r="F12" s="28" t="n"/>
      <c r="G12" s="28" t="n"/>
      <c r="H12" s="28">
        <f>IF($G12="","",$G12-$F12)</f>
        <v/>
      </c>
      <c r="I12" s="42">
        <f>IF(N($H12)&lt;=0,"",$E12/$H12)</f>
        <v/>
      </c>
      <c r="J12" s="24" t="n"/>
      <c r="K12" s="24" t="n"/>
      <c r="L12" s="24" t="n"/>
    </row>
    <row r="13">
      <c r="A13" s="21" t="n"/>
      <c r="B13" s="21" t="n"/>
      <c r="C13" s="21" t="n"/>
      <c r="D13" s="21" t="n"/>
      <c r="E13" s="27" t="n"/>
      <c r="F13" s="27" t="n"/>
      <c r="G13" s="27" t="n"/>
      <c r="H13" s="27">
        <f>IF($G13="","",$G13-$F13)</f>
        <v/>
      </c>
      <c r="I13" s="41">
        <f>IF(N($H13)&lt;=0,"",$E13/$H13)</f>
        <v/>
      </c>
      <c r="J13" s="21" t="n"/>
      <c r="K13" s="21" t="n"/>
      <c r="L13" s="21" t="n"/>
    </row>
    <row r="14">
      <c r="A14" s="24" t="n"/>
      <c r="B14" s="24" t="n"/>
      <c r="C14" s="24" t="n"/>
      <c r="D14" s="24" t="n"/>
      <c r="E14" s="28" t="n"/>
      <c r="F14" s="28" t="n"/>
      <c r="G14" s="28" t="n"/>
      <c r="H14" s="28">
        <f>IF($G14="","",$G14-$F14)</f>
        <v/>
      </c>
      <c r="I14" s="42">
        <f>IF(N($H14)&lt;=0,"",$E14/$H14)</f>
        <v/>
      </c>
      <c r="J14" s="24" t="n"/>
      <c r="K14" s="24" t="n"/>
      <c r="L14" s="24" t="n"/>
    </row>
    <row r="15">
      <c r="A15" s="21" t="n"/>
      <c r="B15" s="21" t="n"/>
      <c r="C15" s="21" t="n"/>
      <c r="D15" s="21" t="n"/>
      <c r="E15" s="27" t="n"/>
      <c r="F15" s="27" t="n"/>
      <c r="G15" s="27" t="n"/>
      <c r="H15" s="27">
        <f>IF($G15="","",$G15-$F15)</f>
        <v/>
      </c>
      <c r="I15" s="41">
        <f>IF(N($H15)&lt;=0,"",$E15/$H15)</f>
        <v/>
      </c>
      <c r="J15" s="21" t="n"/>
      <c r="K15" s="21" t="n"/>
      <c r="L15" s="21" t="n"/>
    </row>
    <row r="16">
      <c r="A16" s="24" t="n"/>
      <c r="B16" s="24" t="n"/>
      <c r="C16" s="24" t="n"/>
      <c r="D16" s="24" t="n"/>
      <c r="E16" s="28" t="n"/>
      <c r="F16" s="28" t="n"/>
      <c r="G16" s="28" t="n"/>
      <c r="H16" s="28">
        <f>IF($G16="","",$G16-$F16)</f>
        <v/>
      </c>
      <c r="I16" s="42">
        <f>IF(N($H16)&lt;=0,"",$E16/$H16)</f>
        <v/>
      </c>
      <c r="J16" s="24" t="n"/>
      <c r="K16" s="24" t="n"/>
      <c r="L16" s="24" t="n"/>
    </row>
    <row r="17">
      <c r="A17" s="21" t="n"/>
      <c r="B17" s="21" t="n"/>
      <c r="C17" s="21" t="n"/>
      <c r="D17" s="21" t="n"/>
      <c r="E17" s="27" t="n"/>
      <c r="F17" s="27" t="n"/>
      <c r="G17" s="27" t="n"/>
      <c r="H17" s="27">
        <f>IF($G17="","",$G17-$F17)</f>
        <v/>
      </c>
      <c r="I17" s="41">
        <f>IF(N($H17)&lt;=0,"",$E17/$H17)</f>
        <v/>
      </c>
      <c r="J17" s="21" t="n"/>
      <c r="K17" s="21" t="n"/>
      <c r="L17" s="21" t="n"/>
    </row>
    <row r="18">
      <c r="A18" s="24" t="n"/>
      <c r="B18" s="24" t="n"/>
      <c r="C18" s="24" t="n"/>
      <c r="D18" s="24" t="n"/>
      <c r="E18" s="28" t="n"/>
      <c r="F18" s="28" t="n"/>
      <c r="G18" s="28" t="n"/>
      <c r="H18" s="28">
        <f>IF($G18="","",$G18-$F18)</f>
        <v/>
      </c>
      <c r="I18" s="42">
        <f>IF(N($H18)&lt;=0,"",$E18/$H18)</f>
        <v/>
      </c>
      <c r="J18" s="24" t="n"/>
      <c r="K18" s="24" t="n"/>
      <c r="L18" s="24" t="n"/>
    </row>
    <row r="19">
      <c r="A19" s="21" t="n"/>
      <c r="B19" s="21" t="n"/>
      <c r="C19" s="21" t="n"/>
      <c r="D19" s="21" t="n"/>
      <c r="E19" s="27" t="n"/>
      <c r="F19" s="27" t="n"/>
      <c r="G19" s="27" t="n"/>
      <c r="H19" s="27">
        <f>IF($G19="","",$G19-$F19)</f>
        <v/>
      </c>
      <c r="I19" s="41">
        <f>IF(N($H19)&lt;=0,"",$E19/$H19)</f>
        <v/>
      </c>
      <c r="J19" s="21" t="n"/>
      <c r="K19" s="21" t="n"/>
      <c r="L19" s="21" t="n"/>
    </row>
    <row r="20">
      <c r="A20" s="24" t="n"/>
      <c r="B20" s="24" t="n"/>
      <c r="C20" s="24" t="n"/>
      <c r="D20" s="24" t="n"/>
      <c r="E20" s="28" t="n"/>
      <c r="F20" s="28" t="n"/>
      <c r="G20" s="28" t="n"/>
      <c r="H20" s="28">
        <f>IF($G20="","",$G20-$F20)</f>
        <v/>
      </c>
      <c r="I20" s="42">
        <f>IF(N($H20)&lt;=0,"",$E20/$H20)</f>
        <v/>
      </c>
      <c r="J20" s="24" t="n"/>
      <c r="K20" s="24" t="n"/>
      <c r="L20" s="24" t="n"/>
    </row>
    <row r="21">
      <c r="A21" s="21" t="n"/>
      <c r="B21" s="21" t="n"/>
      <c r="C21" s="21" t="n"/>
      <c r="D21" s="21" t="n"/>
      <c r="E21" s="27" t="n"/>
      <c r="F21" s="27" t="n"/>
      <c r="G21" s="27" t="n"/>
      <c r="H21" s="27">
        <f>IF($G21="","",$G21-$F21)</f>
        <v/>
      </c>
      <c r="I21" s="41">
        <f>IF(N($H21)&lt;=0,"",$E21/$H21)</f>
        <v/>
      </c>
      <c r="J21" s="21" t="n"/>
      <c r="K21" s="21" t="n"/>
      <c r="L21" s="21" t="n"/>
    </row>
    <row r="22">
      <c r="A22" s="24" t="n"/>
      <c r="B22" s="24" t="n"/>
      <c r="C22" s="24" t="n"/>
      <c r="D22" s="24" t="n"/>
      <c r="E22" s="28" t="n"/>
      <c r="F22" s="28" t="n"/>
      <c r="G22" s="28" t="n"/>
      <c r="H22" s="28">
        <f>IF($G22="","",$G22-$F22)</f>
        <v/>
      </c>
      <c r="I22" s="42">
        <f>IF(N($H22)&lt;=0,"",$E22/$H22)</f>
        <v/>
      </c>
      <c r="J22" s="24" t="n"/>
      <c r="K22" s="24" t="n"/>
      <c r="L22" s="24" t="n"/>
    </row>
    <row r="23">
      <c r="A23" s="21" t="n"/>
      <c r="B23" s="21" t="n"/>
      <c r="C23" s="21" t="n"/>
      <c r="D23" s="21" t="n"/>
      <c r="E23" s="27" t="n"/>
      <c r="F23" s="27" t="n"/>
      <c r="G23" s="27" t="n"/>
      <c r="H23" s="27">
        <f>IF($G23="","",$G23-$F23)</f>
        <v/>
      </c>
      <c r="I23" s="41">
        <f>IF(N($H23)&lt;=0,"",$E23/$H23)</f>
        <v/>
      </c>
      <c r="J23" s="21" t="n"/>
      <c r="K23" s="21" t="n"/>
      <c r="L23" s="21" t="n"/>
    </row>
    <row r="24">
      <c r="A24" s="24" t="n"/>
      <c r="B24" s="24" t="n"/>
      <c r="C24" s="24" t="n"/>
      <c r="D24" s="24" t="n"/>
      <c r="E24" s="28" t="n"/>
      <c r="F24" s="28" t="n"/>
      <c r="G24" s="28" t="n"/>
      <c r="H24" s="28">
        <f>IF($G24="","",$G24-$F24)</f>
        <v/>
      </c>
      <c r="I24" s="42">
        <f>IF(N($H24)&lt;=0,"",$E24/$H24)</f>
        <v/>
      </c>
      <c r="J24" s="24" t="n"/>
      <c r="K24" s="24" t="n"/>
      <c r="L24" s="24" t="n"/>
    </row>
    <row r="25">
      <c r="A25" s="21" t="n"/>
      <c r="B25" s="21" t="n"/>
      <c r="C25" s="21" t="n"/>
      <c r="D25" s="21" t="n"/>
      <c r="E25" s="27" t="n"/>
      <c r="F25" s="27" t="n"/>
      <c r="G25" s="27" t="n"/>
      <c r="H25" s="27">
        <f>IF($G25="","",$G25-$F25)</f>
        <v/>
      </c>
      <c r="I25" s="41">
        <f>IF(N($H25)&lt;=0,"",$E25/$H25)</f>
        <v/>
      </c>
      <c r="J25" s="21" t="n"/>
      <c r="K25" s="21" t="n"/>
      <c r="L25" s="21" t="n"/>
    </row>
    <row r="26">
      <c r="A26" s="24" t="n"/>
      <c r="B26" s="24" t="n"/>
      <c r="C26" s="24" t="n"/>
      <c r="D26" s="24" t="n"/>
      <c r="E26" s="28" t="n"/>
      <c r="F26" s="28" t="n"/>
      <c r="G26" s="28" t="n"/>
      <c r="H26" s="28">
        <f>IF($G26="","",$G26-$F26)</f>
        <v/>
      </c>
      <c r="I26" s="42">
        <f>IF(N($H26)&lt;=0,"",$E26/$H26)</f>
        <v/>
      </c>
      <c r="J26" s="24" t="n"/>
      <c r="K26" s="24" t="n"/>
      <c r="L26" s="24" t="n"/>
    </row>
    <row r="27">
      <c r="A27" s="21" t="n"/>
      <c r="B27" s="21" t="n"/>
      <c r="C27" s="21" t="n"/>
      <c r="D27" s="21" t="n"/>
      <c r="E27" s="27" t="n"/>
      <c r="F27" s="27" t="n"/>
      <c r="G27" s="27" t="n"/>
      <c r="H27" s="27">
        <f>IF($G27="","",$G27-$F27)</f>
        <v/>
      </c>
      <c r="I27" s="41">
        <f>IF(N($H27)&lt;=0,"",$E27/$H27)</f>
        <v/>
      </c>
      <c r="J27" s="21" t="n"/>
      <c r="K27" s="21" t="n"/>
      <c r="L27" s="21" t="n"/>
    </row>
    <row r="28">
      <c r="A28" s="24" t="n"/>
      <c r="B28" s="24" t="n"/>
      <c r="C28" s="24" t="n"/>
      <c r="D28" s="24" t="n"/>
      <c r="E28" s="28" t="n"/>
      <c r="F28" s="28" t="n"/>
      <c r="G28" s="28" t="n"/>
      <c r="H28" s="28">
        <f>IF($G28="","",$G28-$F28)</f>
        <v/>
      </c>
      <c r="I28" s="42">
        <f>IF(N($H28)&lt;=0,"",$E28/$H28)</f>
        <v/>
      </c>
      <c r="J28" s="24" t="n"/>
      <c r="K28" s="24" t="n"/>
      <c r="L28" s="24" t="n"/>
    </row>
    <row r="29">
      <c r="A29" s="21" t="n"/>
      <c r="B29" s="21" t="n"/>
      <c r="C29" s="21" t="n"/>
      <c r="D29" s="21" t="n"/>
      <c r="E29" s="27" t="n"/>
      <c r="F29" s="27" t="n"/>
      <c r="G29" s="27" t="n"/>
      <c r="H29" s="27">
        <f>IF($G29="","",$G29-$F29)</f>
        <v/>
      </c>
      <c r="I29" s="41">
        <f>IF(N($H29)&lt;=0,"",$E29/$H29)</f>
        <v/>
      </c>
      <c r="J29" s="21" t="n"/>
      <c r="K29" s="21" t="n"/>
      <c r="L29" s="21" t="n"/>
    </row>
    <row r="31">
      <c r="A31" s="35" t="inlineStr">
        <is>
          <t>RETORNO LÍQUIDO / MÊS  (só as estratégias ativas)</t>
        </is>
      </c>
      <c r="H31" s="43">
        <f>SUMIFS(H5:H29,K5:K29,"Ativo")</f>
        <v/>
      </c>
    </row>
    <row r="32">
      <c r="A32" s="35" t="inlineStr">
        <is>
          <t>RETORNO LÍQUIDO / MÊS  (se tudo que está planejado rodar)</t>
        </is>
      </c>
      <c r="H32" s="44">
        <f>SUM(H5:H29)</f>
        <v/>
      </c>
    </row>
  </sheetData>
  <mergeCells count="2">
    <mergeCell ref="A2:L2"/>
    <mergeCell ref="A1:L1"/>
  </mergeCells>
  <conditionalFormatting sqref="I5:I29">
    <cfRule type="colorScale" priority="1">
      <colorScale>
        <cfvo type="num" val="0"/>
        <cfvo type="num" val="12"/>
        <cfvo type="num" val="36"/>
        <color rgb="00C6EFCE"/>
        <color rgb="00FFEB9C"/>
        <color rgb="00F8CBAD"/>
      </colorScale>
    </cfRule>
  </conditionalFormatting>
  <conditionalFormatting sqref="H5:H29">
    <cfRule type="cellIs" priority="2" operator="lessThan" dxfId="1">
      <formula>0</formula>
    </cfRule>
  </conditionalFormatting>
  <dataValidations count="4">
    <dataValidation sqref="B5:B29" showDropDown="0" showInputMessage="0" showErrorMessage="0" allowBlank="1" type="list">
      <formula1>=Listas!$A$5:$A$7</formula1>
    </dataValidation>
    <dataValidation sqref="C5:C29" showDropDown="0" showInputMessage="0" showErrorMessage="0" allowBlank="1" type="list">
      <formula1>=Listas!$H$5:$H$9</formula1>
    </dataValidation>
    <dataValidation sqref="K5:K29" showDropDown="0" showInputMessage="0" showErrorMessage="0" allowBlank="1" type="list">
      <formula1>=Listas!$G$5:$G$9</formula1>
    </dataValidation>
    <dataValidation sqref="J5:J29" showDropDown="0" showInputMessage="0" showErrorMessage="0" allowBlank="1" type="list">
      <formula1>"Baixo,Médio,Alto"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A8A8A"/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2" customWidth="1" min="4" max="4"/>
    <col width="22" customWidth="1" min="5" max="5"/>
    <col width="14" customWidth="1" min="6" max="6"/>
    <col width="16" customWidth="1" min="7" max="7"/>
    <col width="24" customWidth="1" min="8" max="8"/>
  </cols>
  <sheetData>
    <row r="1" ht="42" customHeight="1">
      <c r="A1" s="1" t="inlineStr">
        <is>
          <t>LISTAS  ·  as opções dos menus suspensos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Edite aqui e os menus de todas as abas mudam junto. Não apague nem reordene as colunas.</t>
        </is>
      </c>
    </row>
    <row r="4" ht="34" customHeight="1">
      <c r="A4" s="19" t="inlineStr">
        <is>
          <t>Frente</t>
        </is>
      </c>
      <c r="B4" s="19" t="inlineStr">
        <is>
          <t>Tipo</t>
        </is>
      </c>
      <c r="C4" s="19" t="inlineStr">
        <is>
          <t>Categoria</t>
        </is>
      </c>
      <c r="D4" s="19" t="inlineStr">
        <is>
          <t>Forma de pagamento</t>
        </is>
      </c>
      <c r="E4" s="19" t="inlineStr">
        <is>
          <t>Tipo de patrimônio</t>
        </is>
      </c>
      <c r="F4" s="19" t="inlineStr">
        <is>
          <t>Frequência</t>
        </is>
      </c>
      <c r="G4" s="19" t="inlineStr">
        <is>
          <t>Status</t>
        </is>
      </c>
      <c r="H4" s="19" t="inlineStr">
        <is>
          <t>Tipo de estratégia</t>
        </is>
      </c>
    </row>
    <row r="5">
      <c r="A5" s="45" t="inlineStr">
        <is>
          <t>Pessoal</t>
        </is>
      </c>
      <c r="B5" s="45" t="inlineStr">
        <is>
          <t>Entrada</t>
        </is>
      </c>
      <c r="C5" s="45" t="inlineStr">
        <is>
          <t>Moradia</t>
        </is>
      </c>
      <c r="D5" s="45" t="inlineStr">
        <is>
          <t>Dinheiro</t>
        </is>
      </c>
      <c r="E5" s="45" t="inlineStr">
        <is>
          <t>Conta corrente</t>
        </is>
      </c>
      <c r="F5" s="45" t="inlineStr">
        <is>
          <t>Mensal</t>
        </is>
      </c>
      <c r="G5" s="45" t="inlineStr">
        <is>
          <t>Ativo</t>
        </is>
      </c>
      <c r="H5" s="45" t="inlineStr">
        <is>
          <t>Renda ativa</t>
        </is>
      </c>
    </row>
    <row r="6">
      <c r="A6" s="45" t="inlineStr">
        <is>
          <t>Clean Touch</t>
        </is>
      </c>
      <c r="B6" s="45" t="inlineStr">
        <is>
          <t>Saída</t>
        </is>
      </c>
      <c r="C6" s="45" t="inlineStr">
        <is>
          <t>Alimentação</t>
        </is>
      </c>
      <c r="D6" s="45" t="inlineStr">
        <is>
          <t>Débito</t>
        </is>
      </c>
      <c r="E6" s="45" t="inlineStr">
        <is>
          <t>Poupança</t>
        </is>
      </c>
      <c r="F6" s="45" t="inlineStr">
        <is>
          <t>Trimestral</t>
        </is>
      </c>
      <c r="G6" s="45" t="inlineStr">
        <is>
          <t>Pausado</t>
        </is>
      </c>
      <c r="H6" s="45" t="inlineStr">
        <is>
          <t>Renda passiva</t>
        </is>
      </c>
    </row>
    <row r="7">
      <c r="A7" s="45" t="inlineStr">
        <is>
          <t>Internet</t>
        </is>
      </c>
      <c r="C7" s="45" t="inlineStr">
        <is>
          <t>Transporte</t>
        </is>
      </c>
      <c r="D7" s="45" t="inlineStr">
        <is>
          <t>Crédito</t>
        </is>
      </c>
      <c r="E7" s="45" t="inlineStr">
        <is>
          <t>Reserva de emergência</t>
        </is>
      </c>
      <c r="F7" s="45" t="inlineStr">
        <is>
          <t>Semestral</t>
        </is>
      </c>
      <c r="G7" s="45" t="inlineStr">
        <is>
          <t>Encerrado</t>
        </is>
      </c>
      <c r="H7" s="45" t="inlineStr">
        <is>
          <t>Fazer render (investir)</t>
        </is>
      </c>
    </row>
    <row r="8">
      <c r="C8" s="45" t="inlineStr">
        <is>
          <t>Saúde</t>
        </is>
      </c>
      <c r="D8" s="45" t="inlineStr">
        <is>
          <t>Pix / Transferência</t>
        </is>
      </c>
      <c r="E8" s="45" t="inlineStr">
        <is>
          <t>Investimento</t>
        </is>
      </c>
      <c r="F8" s="45" t="inlineStr">
        <is>
          <t>Anual</t>
        </is>
      </c>
      <c r="G8" s="45" t="inlineStr">
        <is>
          <t>Planejado</t>
        </is>
      </c>
      <c r="H8" s="45" t="inlineStr">
        <is>
          <t>Cortar custo</t>
        </is>
      </c>
    </row>
    <row r="9">
      <c r="C9" s="45" t="inlineStr">
        <is>
          <t>Educação</t>
        </is>
      </c>
      <c r="D9" s="45" t="inlineStr">
        <is>
          <t>Boleto</t>
        </is>
      </c>
      <c r="E9" s="45" t="inlineStr">
        <is>
          <t>Cripto</t>
        </is>
      </c>
      <c r="G9" s="45" t="inlineStr">
        <is>
          <t>Em teste</t>
        </is>
      </c>
      <c r="H9" s="45" t="inlineStr">
        <is>
          <t>Escalar o que já existe</t>
        </is>
      </c>
    </row>
    <row r="10">
      <c r="C10" s="45" t="inlineStr">
        <is>
          <t>Lazer</t>
        </is>
      </c>
      <c r="D10" s="45" t="inlineStr">
        <is>
          <t>Zelle</t>
        </is>
      </c>
      <c r="E10" s="45" t="inlineStr">
        <is>
          <t>Imóvel</t>
        </is>
      </c>
    </row>
    <row r="11">
      <c r="C11" s="45" t="inlineStr">
        <is>
          <t>Assinaturas</t>
        </is>
      </c>
      <c r="D11" s="45" t="inlineStr">
        <is>
          <t>PayPal</t>
        </is>
      </c>
      <c r="E11" s="45" t="inlineStr">
        <is>
          <t>Veículo</t>
        </is>
      </c>
    </row>
    <row r="12">
      <c r="C12" s="45" t="inlineStr">
        <is>
          <t>Impostos e taxas</t>
        </is>
      </c>
      <c r="D12" s="45" t="inlineStr">
        <is>
          <t>Stripe</t>
        </is>
      </c>
      <c r="E12" s="45" t="inlineStr">
        <is>
          <t>Equipamento</t>
        </is>
      </c>
    </row>
    <row r="13">
      <c r="C13" s="45" t="inlineStr">
        <is>
          <t>Marketing</t>
        </is>
      </c>
      <c r="D13" s="45" t="inlineStr">
        <is>
          <t>Cheque</t>
        </is>
      </c>
      <c r="E13" s="45" t="inlineStr">
        <is>
          <t>Recebível</t>
        </is>
      </c>
    </row>
    <row r="14">
      <c r="C14" s="45" t="inlineStr">
        <is>
          <t>Fornecedores</t>
        </is>
      </c>
      <c r="D14" s="45" t="inlineStr">
        <is>
          <t>Débito automático</t>
        </is>
      </c>
      <c r="E14" s="45" t="inlineStr">
        <is>
          <t>Outro</t>
        </is>
      </c>
    </row>
    <row r="15">
      <c r="C15" s="45" t="inlineStr">
        <is>
          <t>Ferramentas e software</t>
        </is>
      </c>
    </row>
    <row r="16">
      <c r="C16" s="45" t="inlineStr">
        <is>
          <t>Equipamentos</t>
        </is>
      </c>
    </row>
    <row r="17">
      <c r="C17" s="45" t="inlineStr">
        <is>
          <t>Salários e pró-labore</t>
        </is>
      </c>
    </row>
    <row r="18">
      <c r="C18" s="45" t="inlineStr">
        <is>
          <t>Serviços profissionais</t>
        </is>
      </c>
    </row>
    <row r="19">
      <c r="C19" s="45" t="inlineStr">
        <is>
          <t>Viagem</t>
        </is>
      </c>
    </row>
    <row r="20">
      <c r="C20" s="45" t="inlineStr">
        <is>
          <t>Tarifas bancárias</t>
        </is>
      </c>
    </row>
    <row r="21">
      <c r="C21" s="45" t="inlineStr">
        <is>
          <t>Cartão - pagamento de fatura</t>
        </is>
      </c>
    </row>
    <row r="22">
      <c r="C22" s="45" t="inlineStr">
        <is>
          <t>Empréstimo / parcelamento</t>
        </is>
      </c>
    </row>
    <row r="23">
      <c r="C23" s="45" t="inlineStr">
        <is>
          <t>Aporte investimento</t>
        </is>
      </c>
    </row>
    <row r="24">
      <c r="C24" s="45" t="inlineStr">
        <is>
          <t>Resgate investimento</t>
        </is>
      </c>
    </row>
    <row r="25">
      <c r="C25" s="45" t="inlineStr">
        <is>
          <t>Transferência entre contas</t>
        </is>
      </c>
    </row>
    <row r="26">
      <c r="C26" s="45" t="inlineStr">
        <is>
          <t>Vendas / serviços</t>
        </is>
      </c>
    </row>
    <row r="27">
      <c r="C27" s="45" t="inlineStr">
        <is>
          <t>Renda de internet</t>
        </is>
      </c>
    </row>
    <row r="28">
      <c r="C28" s="45" t="inlineStr">
        <is>
          <t>Outras entradas</t>
        </is>
      </c>
    </row>
    <row r="29">
      <c r="C29" s="45" t="inlineStr">
        <is>
          <t>Outras saídas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2026-07-27T20:37:21Z</dcterms:created>
  <dcterms:modified xsi:type="dcterms:W3CDTF">2026-07-27T20:37:22Z</dcterms:modified>
</cp:coreProperties>
</file>